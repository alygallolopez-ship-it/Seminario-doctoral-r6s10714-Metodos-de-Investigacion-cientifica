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A71F6EAF-75D4-459D-AF00-E110A5AD0804}" xr6:coauthVersionLast="47" xr6:coauthVersionMax="47" xr10:uidLastSave="{00000000-0000-0000-0000-000000000000}"/>
  <bookViews>
    <workbookView xWindow="-120" yWindow="-120" windowWidth="20730" windowHeight="11040" tabRatio="500" xr2:uid="{00000000-000D-0000-FFFF-FFFF00000000}"/>
  </bookViews>
  <sheets>
    <sheet name="Cribado" sheetId="1" r:id="rId1"/>
    <sheet name="PRISMA" sheetId="2" r:id="rId2"/>
  </sheets>
  <definedNames>
    <definedName name="_xlnm._FilterDatabase" localSheetId="0" hidden="1">Cribado!$A$1:$K$175</definedName>
  </definedNames>
  <calcPr calcId="191028"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B8" i="2" l="1"/>
  <c r="B9" i="2"/>
  <c r="B10" i="2"/>
  <c r="B11" i="2"/>
  <c r="B12" i="2"/>
  <c r="B7" i="2"/>
  <c r="B15" i="2"/>
  <c r="B3" i="2"/>
  <c r="B6" i="2"/>
  <c r="B14" i="2"/>
  <c r="B17" i="2"/>
  <c r="B18" i="2"/>
</calcChain>
</file>

<file path=xl/sharedStrings.xml><?xml version="1.0" encoding="utf-8"?>
<sst xmlns="http://schemas.openxmlformats.org/spreadsheetml/2006/main" count="1427" uniqueCount="717">
  <si>
    <t>N°</t>
  </si>
  <si>
    <t>Primer autor</t>
  </si>
  <si>
    <t>Año</t>
  </si>
  <si>
    <t>Tipo</t>
  </si>
  <si>
    <t>Título</t>
  </si>
  <si>
    <t>Fuente</t>
  </si>
  <si>
    <t>DOI</t>
  </si>
  <si>
    <t>Decisión</t>
  </si>
  <si>
    <t>Razón</t>
  </si>
  <si>
    <t>Código</t>
  </si>
  <si>
    <t>Etiqueta de dominio</t>
  </si>
  <si>
    <t>Kumar B.N.; Narayanan T.; Kumar B.N.</t>
  </si>
  <si>
    <t>Conference paper</t>
  </si>
  <si>
    <t>RACE-Fusion: Reliability- and Calibration-Enhanced Tri-Modal Learning from ECG, Echocardiography, and EHR</t>
  </si>
  <si>
    <t>Conference Proceedngs - WcCST 2026: World Conference on Computational Science and Technology</t>
  </si>
  <si>
    <t>10.1109/WcCST67302.2026.11495776</t>
  </si>
  <si>
    <t>Excluir</t>
  </si>
  <si>
    <t>Datos clínicos reales o multimodalidad no verificables en el resumen (benchmark público, simulado o sin especificar)</t>
  </si>
  <si>
    <t>R3</t>
  </si>
  <si>
    <t>Amal S.; Safarnejad L.; Omiye J.A.; Ghanzouri I.; Cabot J.H.; Ross E.G.</t>
  </si>
  <si>
    <t>Review</t>
  </si>
  <si>
    <t>Use of Multi-Modal Data and Machine Learning to Improve Cardiovascular Disease Care</t>
  </si>
  <si>
    <t>Frontiers in Cardiovascular Medicine</t>
  </si>
  <si>
    <t>10.3389/fcvm.2022.840262</t>
  </si>
  <si>
    <t>No es estudio primario (revisión, survey, perspectiva, capítulo, editorial, carta, protocolo o volumen de conferencia)</t>
  </si>
  <si>
    <t>R1</t>
  </si>
  <si>
    <t>Mohsen F.; Al-Absi H.R.H.; Yousri N.A.; El Hajj N.; Shah Z.</t>
  </si>
  <si>
    <t>A scoping review of artificial intelligence-based methods for diabetes risk prediction</t>
  </si>
  <si>
    <t>npj Digital Medicine</t>
  </si>
  <si>
    <t>10.1038/s41746-023-00933-5</t>
  </si>
  <si>
    <t>Shailaja K.; Samreen S.</t>
  </si>
  <si>
    <t>A Novel Explainable Hybrid Framework for Temporal Risk Prediction and Anomaly Detection in Diabetic Disease Using Multimodal Health Data</t>
  </si>
  <si>
    <t>Lecture Notes in Networks and Systems</t>
  </si>
  <si>
    <t>10.1007/978-3-032-06671-8_50</t>
  </si>
  <si>
    <t>Wu Y.</t>
  </si>
  <si>
    <t>Article</t>
  </si>
  <si>
    <t>Development and Evaluation of an Adaptive Penguin–Improved LSTM Model Integrating Natural Language Processing for Early Prediction of Pregnancy Syndrome Risks</t>
  </si>
  <si>
    <t>Birth Defects Research</t>
  </si>
  <si>
    <t>10.1002/bdr2.70095</t>
  </si>
  <si>
    <t>Población o enfermedad fuera de alcance (no obesidad/DM2/ECV/IC/HTA)</t>
  </si>
  <si>
    <t>R2</t>
  </si>
  <si>
    <t>Rabinovici-Cohen S.; Platt D.E.; Iwamori T.; Guez I.; Dey S.; Bose A.; Kudo M.; Cosmai L.; Porta C.; Koseki A.; Meyer P.</t>
  </si>
  <si>
    <t>Multimodal predictions of end stage chronic kidney disease from asymptomatic individuals for discovery of genomic biomarkers</t>
  </si>
  <si>
    <t>BMC Nephrology</t>
  </si>
  <si>
    <t>10.1186/s12882-026-05016-7</t>
  </si>
  <si>
    <t>Tal vez (reserva)</t>
  </si>
  <si>
    <t>Excluido en elegibilidad (ver código E1-E5)</t>
  </si>
  <si>
    <t>R6</t>
  </si>
  <si>
    <t>Elsabagh M.A.; Albelaihi R.; Hassan E.</t>
  </si>
  <si>
    <t>HA-PI-MADT: A Hybrid Adaptive Multimodal Digital Twin-Inspired Framework for Reliable Healthcare Prediction with Improved Ranking and Calibration Performance</t>
  </si>
  <si>
    <t>Future Internet</t>
  </si>
  <si>
    <t>10.3390/fi18060298</t>
  </si>
  <si>
    <t>Bihri H.; Azzouzi S.; Charaf M.E.H.</t>
  </si>
  <si>
    <t>A Multi-Modal Approach for Cardiovascular Disease Prediction by Combining Both Images and Non-Image Data</t>
  </si>
  <si>
    <t>10.1007/978-3-031-99997-0_36</t>
  </si>
  <si>
    <t>Jiang X.-Z.; Guo L.-J.; Zhang M.-T.; Ji G.-L.; Liu H.-T.; Zheng Y.; Zhou J.</t>
  </si>
  <si>
    <t>Redefining cardiometabolic biomarkers in the big data era: toward a personalized medicine-centered reconstruction of risk prediction models</t>
  </si>
  <si>
    <t>10.3389/fcvm.2026.1846105</t>
  </si>
  <si>
    <t>Lin W.-C.; Chen J.S.; Chiang M.F.; Hribar M.R.</t>
  </si>
  <si>
    <t>Applications of artificial intelligence to electronic health record data in ophthalmology</t>
  </si>
  <si>
    <t>Translational Vision Science and Technology</t>
  </si>
  <si>
    <t>10.1167/tvst.9.2.13</t>
  </si>
  <si>
    <t>Mani K.; Scharfenberger T.; Goldman S.N.; Kleinbart E.; Mostafa E.; Ramos R.D.L.G.; Fourman M.S.; Eleswarapu A.</t>
  </si>
  <si>
    <t>Multimodal machine learning for predicting perioperative safety indicators in spinal surgery</t>
  </si>
  <si>
    <t>Spine Journal</t>
  </si>
  <si>
    <t>10.1016/j.spinee.2025.03.021</t>
  </si>
  <si>
    <t>Suvon M.N.I.; Tripathi P.C.; Alabed S.; Swift A.J.; Lu H.</t>
  </si>
  <si>
    <t>Multimodal Learning for Predicting Mortality in Patients with Pulmonary Arterial Hypertension</t>
  </si>
  <si>
    <t>Proceedings - 2022 IEEE International Conference on Bioinformatics and Biomedicine, BIBM 2022</t>
  </si>
  <si>
    <t>10.1109/BIBM55620.2022.9995597</t>
  </si>
  <si>
    <t>Li J.; Guan D.</t>
  </si>
  <si>
    <r>
      <rPr>
        <sz val="10"/>
        <rFont val="Arial"/>
        <charset val="1"/>
      </rPr>
      <t>Research Progress on Cardiac Modeling Simulation Technology for Precision Medicine; [</t>
    </r>
    <r>
      <rPr>
        <sz val="10"/>
        <rFont val="Noto Sans CJK SC"/>
        <family val="2"/>
      </rPr>
      <t>面向精准医疗的心脏建模仿真技术研究进展</t>
    </r>
    <r>
      <rPr>
        <sz val="10"/>
        <rFont val="Arial"/>
        <charset val="1"/>
      </rPr>
      <t>]</t>
    </r>
  </si>
  <si>
    <t>Yiyong Shengwu Lixue/Journal of Medical Biomechanics</t>
  </si>
  <si>
    <t>10.16156/j.1004-7220.2026.02.006</t>
  </si>
  <si>
    <t>Ambad R.S.; Jha R.K.; Jha R.K.; Kondhalkar A.</t>
  </si>
  <si>
    <t>Model for AI-Enhanced Disease Diagnosis and Prognosis</t>
  </si>
  <si>
    <t>2025 3rd DMIHER International Conference on Artificial Intelligence in Healthcare, Education and Industry, IDICAIHEI 2025</t>
  </si>
  <si>
    <t>10.1109/IDICAIHEI65991.2025.11379110</t>
  </si>
  <si>
    <t>Li Y.; Mamouei M.; Salimi-Khorshidi G.; Rao S.; Hassaine A.; Canoy D.; Lukasiewicz T.; Rahimi K.</t>
  </si>
  <si>
    <t>Hi-BEHRT: Hierarchical Transformer-Based Model for Accurate Prediction of Clinical Events Using Multimodal Longitudinal Electronic Health Records</t>
  </si>
  <si>
    <t>IEEE Journal of Biomedical and Health Informatics</t>
  </si>
  <si>
    <t>10.1109/JBHI.2022.3224727</t>
  </si>
  <si>
    <t>Multimodalidad no real (solo tipos de códigos o variables tabulares)</t>
  </si>
  <si>
    <t>R5</t>
  </si>
  <si>
    <t>Tripathi P.C.; Tabakhi S.; Suvon M.N.I.; Schobs L.; Alabed S.; Swift A.J.; Zhou S.; Lu H.</t>
  </si>
  <si>
    <t>Interpretable Multimodal Learning for Cardiovascular Hemodynamics Assessment</t>
  </si>
  <si>
    <t>IEEE Transactions on Medical Imaging</t>
  </si>
  <si>
    <t>10.1109/TMI.2026.3681722</t>
  </si>
  <si>
    <t>Objetivo es diagnóstico/detección/clasificación, o el outcome no es un evento clínico futuro</t>
  </si>
  <si>
    <t>R4</t>
  </si>
  <si>
    <t>Teoh J.R.; Hasikin K.; Wong J.H.D.; Ng W.L.; Lee K.W.; Kiew L.V.; Wu X.; Lai K.W.</t>
  </si>
  <si>
    <t>Predicting heart failure using MIMIC-IV and MIMIC-IV-ED: a comparative study of machine learning and deep learning models</t>
  </si>
  <si>
    <t>PeerJ Computer Science</t>
  </si>
  <si>
    <t>10.7717/peerj-cs.3743</t>
  </si>
  <si>
    <t>Chen S.; Guo X.</t>
  </si>
  <si>
    <r>
      <rPr>
        <sz val="10"/>
        <rFont val="Arial"/>
        <charset val="1"/>
      </rPr>
      <t>A review of multimodal large models in the field of major diseases; [</t>
    </r>
    <r>
      <rPr>
        <sz val="10"/>
        <rFont val="Noto Sans CJK SC"/>
        <family val="2"/>
      </rPr>
      <t>多模态大模型在重大疾病领域的研究综述</t>
    </r>
    <r>
      <rPr>
        <sz val="10"/>
        <rFont val="Arial"/>
        <charset val="1"/>
      </rPr>
      <t>]</t>
    </r>
  </si>
  <si>
    <t>Harbin Gongye Daxue Xuebao/Journal of Harbin Institute of Technology</t>
  </si>
  <si>
    <t>10.11918/202510003</t>
  </si>
  <si>
    <t>Nomura A.; Takeji Y.; Shimojima M.; Takamura M.</t>
  </si>
  <si>
    <t>Digitalomics: Towards Artificial Intelligence/Machine Learning-Based Precision Cardiovascular Medicine</t>
  </si>
  <si>
    <t>Circulation Journal</t>
  </si>
  <si>
    <t>10.1253/circj.CJ-24-0865</t>
  </si>
  <si>
    <t>Feng W.; Wu H.; Ma H.; Yin Y.; Tao Z.; Lu S.; Zhang X.; Yu Y.; Wan C.; Liu Y.</t>
  </si>
  <si>
    <t>Deep learning based prediction of depression and anxiety in patients with type 2 diabetes mellitus using regional electronic health records</t>
  </si>
  <si>
    <t>International Journal of Medical Informatics</t>
  </si>
  <si>
    <t>10.1016/j.ijmedinf.2025.105801</t>
  </si>
  <si>
    <t>Clement David-Olawade A.; Ogunbona M.A.; Olawuyi O.F.; Makanjuola B.D.; Alabi J.O.; Olawade D.B.</t>
  </si>
  <si>
    <t>Artificial intelligence and machine learning applications in dialysis: Current applications, challenges, and future directions</t>
  </si>
  <si>
    <t>Clinica Chimica Acta</t>
  </si>
  <si>
    <t>10.1016/j.cca.2026.120908</t>
  </si>
  <si>
    <t>Kim S.</t>
  </si>
  <si>
    <t>Multi-modal inflammatory risk modeling in post-PCI patients using behavioral and physiologic data</t>
  </si>
  <si>
    <t>PLOS ONE</t>
  </si>
  <si>
    <t>10.1371/journal.pone.0336394</t>
  </si>
  <si>
    <t>nan</t>
  </si>
  <si>
    <t>Conference review</t>
  </si>
  <si>
    <t>2nd Nordic Conference on Digital Health and Wireless Solutions, NCDHWS 2026</t>
  </si>
  <si>
    <t>Communications in Computer and Information Science</t>
  </si>
  <si>
    <t>10th International Workshop on Multimodal Learning for Clinical Decision Support, ML-CDS 2020, and the 9th International Workshop on Clinical Image-Based Procedures, CLIP 2020, held in conjunction with the 23rd International Conference on Medical Image Computing and Computer Assisted Intervention, MICCAI 2020</t>
  </si>
  <si>
    <t>Lecture Notes in Computer Science</t>
  </si>
  <si>
    <t>Gowri R.; Devi T.; Deepa N.</t>
  </si>
  <si>
    <t>A Multimodal Foundation Model with Federated Temporal Graph Learning for Personalized Cardiovascular Risk Prediction</t>
  </si>
  <si>
    <t>6th International Conference on Inventive Computation and Information Technologies, ICICIT 2026 - Proceedings</t>
  </si>
  <si>
    <t>10.1109/ICICIT69063.2026.11634092</t>
  </si>
  <si>
    <t>Dhiman S.; Thukral A.; Bedi P.</t>
  </si>
  <si>
    <t>An Agentic AI system for disease diagnosis with explanations</t>
  </si>
  <si>
    <t>Informatics and Health</t>
  </si>
  <si>
    <t>10.1016/j.infoh.2026.01.001</t>
  </si>
  <si>
    <t>Machine Learning-Based Risk Prediction Models for Pregnancy-Related Syndromes</t>
  </si>
  <si>
    <t>10.1002/bdr2.70038</t>
  </si>
  <si>
    <t>Vidhya V.; Rudrakotti A.R.B.; Mary A.S.T.; Saranya S.; Bharathi N.A.; Ellappan B.</t>
  </si>
  <si>
    <t>Federated Multi Media Data Driven Approach for Early Diagnosis of Cardio Vascular Disease Prediction</t>
  </si>
  <si>
    <t>Proceedings of the 3rd International Conference on Innovations in Cybersecurity and Data Science, ICICDS 2026</t>
  </si>
  <si>
    <t>10.1109/ICICDS70526.2026.11604742</t>
  </si>
  <si>
    <t>Zhou Y.; Li Y.; Sun X.; Hou Y.; Li D.; Shao J.; Wang L.; Kong B.</t>
  </si>
  <si>
    <t>CARE: Contrastive and Adversarial Representation Enhancement for Heart Failure Prediction</t>
  </si>
  <si>
    <t>Proceedings of the IEEE International Conference on Big Data, BigData</t>
  </si>
  <si>
    <t>10.1109/BigData66926.2025.11401799</t>
  </si>
  <si>
    <t>Guo F.; Dong Q.; Guo T.; Zhang X.</t>
  </si>
  <si>
    <t>Multimodal health data fusion and analysis based on digital twins</t>
  </si>
  <si>
    <t>Proceedings of SPIE - The International Society for Optical Engineering</t>
  </si>
  <si>
    <t>10.1117/12.3060429</t>
  </si>
  <si>
    <t>V. J.P.; S. A.A.V.; P. G.K.; Karthikeyan N.K.</t>
  </si>
  <si>
    <t>A novel attention-based cross-modal transfer learning framework for predicting cardiovascular disease</t>
  </si>
  <si>
    <t>Computers in Biology and Medicine</t>
  </si>
  <si>
    <t>10.1016/j.compbiomed.2024.107977</t>
  </si>
  <si>
    <t>Ma X.; Hamian M.</t>
  </si>
  <si>
    <t>Adaptive and secure multimodal federated learning for distributed cardiovascular risk stratification with interpretable clinical decision support</t>
  </si>
  <si>
    <t>Cluster Computing</t>
  </si>
  <si>
    <t>10.1007/s10586-026-06421-1</t>
  </si>
  <si>
    <t>Gorrepati L.P.; Mohanadas S.</t>
  </si>
  <si>
    <t>CalibraCardio: Reliability-Aware Multi-Source Fusion with Calibration and Explanations for Cardiac Risk Stratification</t>
  </si>
  <si>
    <t>10.1109/WcCST67302.2026.11495890</t>
  </si>
  <si>
    <t>Shahabinejad E.; Soflaei-Shahrbabak F.; Gholami Shoa M.; Azhdarimoghaddam A.; Mozafar M.; Yektaee-Rad P.; Monajemi S.; Ghanouni S.; Qiu S.; Khorsand Askari M.</t>
  </si>
  <si>
    <t>Using Artificial Intelligence to Identify Patterns and Predictors of Adverse Drug Reactions in Cardiovascular Patients: A Comprehensive Narrative Review</t>
  </si>
  <si>
    <t>American Journal of Cardiovascular Drugs</t>
  </si>
  <si>
    <t>10.1007/s40256-026-00810-y</t>
  </si>
  <si>
    <t>Romano L.R.; Odorico M.S.; Curcio A.</t>
  </si>
  <si>
    <t>Implementation of Machine Learning in Heart Failure Trials</t>
  </si>
  <si>
    <t>Current Heart Failure Reports</t>
  </si>
  <si>
    <t>10.1007/s11897-026-00752-1</t>
  </si>
  <si>
    <t>Ahmed G.; Rahman A.; Deshmukh V.; Panchabudhe H.M.; Pathan T.U.; Khobragade P.</t>
  </si>
  <si>
    <t>Data-Driven Clinical Decision Support Systems for Optimizing Treatment Pathways in Cardiovascular Diseases</t>
  </si>
  <si>
    <t>Proceedings - 2025 IEEE 1st International Conference on Smart Innovations in Systems, Infrastructure, Mechanical, Power, AI and Computing Technologies, SISIMPACT 2025</t>
  </si>
  <si>
    <t>10.1109/SISIMPACT67725.2025.11439625</t>
  </si>
  <si>
    <t>Gowravaram R.; Narayana M.V.</t>
  </si>
  <si>
    <t>Intelligent Clinical Intelligence Systems for Next-Generation Healthcare Ecosystems</t>
  </si>
  <si>
    <t>International Conference on Signal, Systems, and Computing for Next-Gen Automation, ICSSCNA 2026 - Proceedings</t>
  </si>
  <si>
    <t>10.1109/ICSSCNA68616.2026.11546780</t>
  </si>
  <si>
    <t>Tsai H.; Yang T.-W.; Ou K.-H.; Su T.-H.; Lin C.; Chou C.-F.</t>
  </si>
  <si>
    <t>Multimodal Attention Network for Dementia Prediction</t>
  </si>
  <si>
    <t>10.1109/JBHI.2024.3438885</t>
  </si>
  <si>
    <t>Janvi; Singh D.; Shah A.; Verma A.K.; Prajapati Y.N.</t>
  </si>
  <si>
    <t>Integrating Multi-Model Data with Explainable Machine Learning for Early Multi Disease Detection</t>
  </si>
  <si>
    <t>2026 International Conference on Intelligent Systems in Engineering, Secured Systems and Cybersecurity, ICISESSC 2026</t>
  </si>
  <si>
    <t>10.1109/ICISESSC68634.2026.11542630</t>
  </si>
  <si>
    <t>Ma H.; Li D.; Fu J.; Zhao G.; Zhao J.</t>
  </si>
  <si>
    <t>Heart failure prognosis prediction: Let's start with the MDL-HFP model</t>
  </si>
  <si>
    <t>Information Systems</t>
  </si>
  <si>
    <t>10.1016/j.is.2024.102408</t>
  </si>
  <si>
    <t>Liu X.; Li S.; Zhu Q.; Xu S.; Jin Q.</t>
  </si>
  <si>
    <t>Federated explainable artificial intelligence framework for real time cardiovascular risk prediction using multimodal data</t>
  </si>
  <si>
    <t>Engineering Applications of Artificial Intelligence</t>
  </si>
  <si>
    <t>10.1016/j.engappai.2026.115617</t>
  </si>
  <si>
    <t>Hsu B.W.-Y.; Chen Y.-C.; Chen C.-K.; Lee C.-K.; Tseng V.S.</t>
  </si>
  <si>
    <t>Multimodal learning for early hypertension burden detection using OCT angiography and electronic medical records</t>
  </si>
  <si>
    <t>Biomedical Signal Processing and Control</t>
  </si>
  <si>
    <t>10.1016/j.bspc.2026.110917</t>
  </si>
  <si>
    <t>Xiao Z.; Zeng Y.; Mo M.; Lv X.; Zhang Y.</t>
  </si>
  <si>
    <t>Deep Learning-Enabled Electronic Health Records for Accurate Diagnosis of Cardiovascular Diseases: A Retrospective, Prospective, Diagnostic Study</t>
  </si>
  <si>
    <t>10.1007/978-981-96-5597-7_9</t>
  </si>
  <si>
    <t>Adeoye J.; Su Y.</t>
  </si>
  <si>
    <t>Deep learning with data transformation improves cancer risk prediction in oral precancerous conditions</t>
  </si>
  <si>
    <t>Intelligent Medicine</t>
  </si>
  <si>
    <t>10.1016/j.imed.2024.11.003</t>
  </si>
  <si>
    <t>Vargas-Santiago M.; León-Velasco D.A.; Maldonado-Sifuentes C.E.; Chanona-Hernandez L.</t>
  </si>
  <si>
    <t>A State-of-the-Art Review of Artificial Intelligence (AI) Applications in Healthcare: Advances in Diabetes, Cancer, Epidemiology, and Mortality Prediction</t>
  </si>
  <si>
    <t>Computers</t>
  </si>
  <si>
    <t>10.3390/computers14040143</t>
  </si>
  <si>
    <t>Thakur A.; Agasthi P.; Chao C.-J.; Farina J.M.; Holmes D.R.; Fortuin D.; Ayoub C.; Arsanjani R.; Banerjee I.</t>
  </si>
  <si>
    <t>Joint fusion of EHR and ECG data using attention-based CNN and ViT for predicting adverse clinical endpoints in percutaneous coronary intervention patients</t>
  </si>
  <si>
    <t>10.1016/j.compbiomed.2025.109966</t>
  </si>
  <si>
    <t>Gaikwad A.; Kulkarnir N.</t>
  </si>
  <si>
    <t>Next-Generation Artificial Intelligence for Cardiovascular Disease Prediction: A Systematic Review of Emerging Paradigms</t>
  </si>
  <si>
    <t>Journal of Intelligent Decision Making and Information Science</t>
  </si>
  <si>
    <t>10.59543/jidmis.v3.2230</t>
  </si>
  <si>
    <t>Lai C.; Yin M.; Kholmovski E.G.; Sani M.M.; Gilotra N.A.; Chrispin J.; Trayanova N.A.</t>
  </si>
  <si>
    <t>Predicting Sudden Cardiac Death in Patients With Sarcoidosis Using a Multimodal Artificial Intelligence Model</t>
  </si>
  <si>
    <t>JACC: Clinical Electrophysiology</t>
  </si>
  <si>
    <t>10.1016/j.jacep.2025.10.009</t>
  </si>
  <si>
    <t>Liu Z.; Wu X.; Yang Y.; Clifton D.A.</t>
  </si>
  <si>
    <t>DuKA: A Dual-Keyless-Attention Model for Multi-Modality EHR Data Fusion and Organ Failure Prediction</t>
  </si>
  <si>
    <t>IEEE Transactions on Biomedical Engineering</t>
  </si>
  <si>
    <t>10.1109/TBME.2023.3331305</t>
  </si>
  <si>
    <t>Jaiswal A.K.; Bisht B.; Yadav H.K.; Kumar P.</t>
  </si>
  <si>
    <t>Quantum-Driven Predictive Analytics for Precision Medicine and Pharmacovigilance: A Multimodal Simulation Framework for Early Disease and Adverse Drug Event Detection</t>
  </si>
  <si>
    <t>Proceedings of the 4th IEEE International Conference on Interdisciplinary Approaches in Technology and Management for Social Innovation, IATMSI 2026</t>
  </si>
  <si>
    <t>10.1109/IATMSI68868.2026.11465388</t>
  </si>
  <si>
    <t>Neelima R.; Henge S.K.</t>
  </si>
  <si>
    <t>AI-Driven Horizons: A Wide-Ranging Review of Deep Learning Approaches for Heart Disease Risk Prediction</t>
  </si>
  <si>
    <t>2nd Asian Conference on Intelligent Technologies, ACOIT 2025</t>
  </si>
  <si>
    <t>10.1109/ACOIT66109.2025.11437036</t>
  </si>
  <si>
    <t>Victor O.A.; Xiaoling Z.; Uko K.; Olamide O.; Ojochogwu A.D.; Jackson T.</t>
  </si>
  <si>
    <t>TS-GraphNet: Fusing ECG, PPG, and EHR via Temporal-Spatial Graphs for Cardiogenic Shock Prediction</t>
  </si>
  <si>
    <t>2025 8th International Conference on Information Communication and Signal Processing, ICICSP 2025</t>
  </si>
  <si>
    <t>10.1109/ICICSP66564.2025.11338350</t>
  </si>
  <si>
    <t>Wang Z.; Song G.; Tang Y.; Xu J.; Wang J.; Cong Q.; Fu J.; Wang Y.; Hu J.; Tu L.; Cheng S.; Ding J.; Hu S.</t>
  </si>
  <si>
    <t>Rapid prediction of hemorrhagic transformation after endovascular thrombectomy: a multimodal model in patients with post-thrombectomy cerebral hyperdensities</t>
  </si>
  <si>
    <t>Frontiers in Neurology</t>
  </si>
  <si>
    <t>10.3389/fneur.2026.1861744</t>
  </si>
  <si>
    <t>Khan M.U.; Zia M.; Muhammad F.; Awan D.; Khan M.S.; Tabassum S.; Khan S.; Abbasi Q.H.; Lais M.</t>
  </si>
  <si>
    <t>Book chapter</t>
  </si>
  <si>
    <t>Automating Healthcare Decision-Making: The Role of Large Language Models in Disease Diagnosis</t>
  </si>
  <si>
    <t>Large Language Models in Healthcare: Opportunities, Applications, and Challenges</t>
  </si>
  <si>
    <t>10.1201/9781003647652-2</t>
  </si>
  <si>
    <t>Raj S.; Bayappu N.</t>
  </si>
  <si>
    <t>Multimodal deep learning in medical diagnostics: A comprehensive exploration of cardiovascular risk prediction</t>
  </si>
  <si>
    <t>Prediction in Medicine: The Impact of Machine Learning on Healthcare</t>
  </si>
  <si>
    <t>10.2174/9789815305128124010008</t>
  </si>
  <si>
    <t>Zhao S.; Cheang C.; Lin J.; Mio W.; Che S.; Kuok K.</t>
  </si>
  <si>
    <t>A multimodal, risk-stratified framework for AI-driven early risk prediction and personalised prevention in obesity</t>
  </si>
  <si>
    <t>Frontiers in Artificial Intelligence</t>
  </si>
  <si>
    <t>10.3389/frai.2026.1865219</t>
  </si>
  <si>
    <t>Mwogosi A.</t>
  </si>
  <si>
    <t>Transformer-based deep learning models for disease prediction: A systematic review</t>
  </si>
  <si>
    <t>Intelligence-Based Medicine</t>
  </si>
  <si>
    <t>10.1016/j.ibmed.2026.100416</t>
  </si>
  <si>
    <t>Wójcik S.; Tomaszewska M.; Rulkiewicz A.</t>
  </si>
  <si>
    <t>Artificial Intelligence-Based Risk Stratification in Obesity Care: From Diagnosis to Personalised Treatment Pathways</t>
  </si>
  <si>
    <t>Diagnostics</t>
  </si>
  <si>
    <t>10.3390/diagnostics16101461</t>
  </si>
  <si>
    <t>Ding J.-E.; Thao P.N.M.; Peng W.-C.; Wang J.-Z.; Chug C.-C.; Hsieh M.-C.; Tseng Y.-C.; Chen L.; Luo D.; Wu C.; Wang C.-T.; Hsu C.-H.; Chen Y.-T.; Chen P.-F.; Liu F.; Hung F.-M.</t>
  </si>
  <si>
    <t>Large language multimodal models for new-onset type 2 diabetes prediction using five-year cohort electronic health records</t>
  </si>
  <si>
    <t>Scientific Reports</t>
  </si>
  <si>
    <t>10.1038/s41598-024-71020-2</t>
  </si>
  <si>
    <t>Incluir</t>
  </si>
  <si>
    <t>Incluido en el corpus de 10</t>
  </si>
  <si>
    <t>INC</t>
  </si>
  <si>
    <t>Notas + laboratorios | DM2 de inicio reciente</t>
  </si>
  <si>
    <t>Deng J.; Wang C.; Zhao N.; Lyu L.; Ma P.; Zhang K.; Zhang Y.</t>
  </si>
  <si>
    <r>
      <rPr>
        <sz val="10"/>
        <rFont val="Arial"/>
        <charset val="1"/>
      </rPr>
      <t>Machine learning-enabled precision transfusion: research progress, challenges, and prospects; [</t>
    </r>
    <r>
      <rPr>
        <sz val="10"/>
        <rFont val="Noto Sans CJK SC"/>
        <family val="2"/>
      </rPr>
      <t>机器学习赋能精准输血</t>
    </r>
    <r>
      <rPr>
        <sz val="10"/>
        <rFont val="Arial"/>
        <charset val="1"/>
      </rPr>
      <t>:</t>
    </r>
    <r>
      <rPr>
        <sz val="10"/>
        <rFont val="Noto Sans CJK SC"/>
        <family val="2"/>
      </rPr>
      <t>研究进展、挑战与展望</t>
    </r>
    <r>
      <rPr>
        <sz val="10"/>
        <rFont val="Arial"/>
        <charset val="1"/>
      </rPr>
      <t>]</t>
    </r>
  </si>
  <si>
    <t>Chinese Journal of Blood Transfusion</t>
  </si>
  <si>
    <t>10.13303/j.cjbt.issn.1004-549x.2026.07.023</t>
  </si>
  <si>
    <t>Zhang C.; Yang Z.; Tang Y.-D.</t>
  </si>
  <si>
    <t>Integrating multimodal intelligence in heart failure: AI-driven risk prediction, precision diagnosis, phenotyping, personalized treatment, and prognosis</t>
  </si>
  <si>
    <t>Chinese Medical Journal</t>
  </si>
  <si>
    <t>10.1097/CM9.0000000000004000</t>
  </si>
  <si>
    <t>Bhargavi P.; Deepthi K.N.</t>
  </si>
  <si>
    <t>Advanced Transfer Learning Approaches for Early Risk Prediction of Cardiovascular Disease based on Diabetes Electronic Health Record</t>
  </si>
  <si>
    <t>2026 IEEE International Conference on Emerging Computing and Intelligent Technologies, ICoECIT 2026</t>
  </si>
  <si>
    <t>10.1109/ICoECIT68303.2026.11496975</t>
  </si>
  <si>
    <t>Lahane A.S.; Dixit B.</t>
  </si>
  <si>
    <t>A Comprehensive Analysis of Medical Data Revealing New Insights Into Cardiovascular Disease</t>
  </si>
  <si>
    <t>2026 International Conference on Sustainable and Futuristic Technologies, ICSFT 2026</t>
  </si>
  <si>
    <t>10.1109/ICSFT67370.2026.11566347</t>
  </si>
  <si>
    <t>Al-Hasooni M.K.N.; Abdzaid A.Y.; Hadi N.H.; Fakhruldeen H.F.</t>
  </si>
  <si>
    <t>Near-instantaneous Cardiovascular Event Prediction Using Multimodal Deep Learning</t>
  </si>
  <si>
    <t>Electronics</t>
  </si>
  <si>
    <t>10.53314/ELS2630003A</t>
  </si>
  <si>
    <t>Parizad R.; Hatwal J.; Brar A.; Desai R.; Batta A.; Mohan B.</t>
  </si>
  <si>
    <t>Artificial Intelligence for Cardiovascular Risk Prediction: An Umbrella Review of Applications and Translational Challenges</t>
  </si>
  <si>
    <t>Vascular Health and Risk Management</t>
  </si>
  <si>
    <t>10.2147/VHRM.S590502</t>
  </si>
  <si>
    <t>Quer G.; Topol E.J.</t>
  </si>
  <si>
    <t>The potential for large language models to transform cardiovascular medicine</t>
  </si>
  <si>
    <t>The Lancet Digital Health</t>
  </si>
  <si>
    <t>10.1016/S2589-7500(24)00151-1</t>
  </si>
  <si>
    <t>Fierley L.; Versnjak J.; Gabel G.; Kramer P.; Goubergrits L.; Berger F.; Montavon G.; Kuehne T.; Kelm M.</t>
  </si>
  <si>
    <t>Prediction of hypertension and restenosis under guideline-directed management in aortic coarctation: development and validation of machine-learning models</t>
  </si>
  <si>
    <t>eClinicalMedicine</t>
  </si>
  <si>
    <t>10.1016/j.eclinm.2026.104041</t>
  </si>
  <si>
    <t>Prasath K H.; Umamaheswari R.; Kumari N.; Li A.</t>
  </si>
  <si>
    <t>AI-HyMedNet: A Hybrid Multimodal Deep LearningNetwork for Precision Medicine and Real-Time Disease Prediction</t>
  </si>
  <si>
    <t>Medical Minds and Machine Learning: Transforming Care with AI</t>
  </si>
  <si>
    <t>10.1201/9781003726913-18</t>
  </si>
  <si>
    <t>Interpretable Semi-federated Learning for Multimodal Cardiac Imaging and Risk Stratification: A Privacy-Preserving Framework</t>
  </si>
  <si>
    <t>Journal of Imaging Informatics in Medicine</t>
  </si>
  <si>
    <t>10.1007/s10278-025-01643-y</t>
  </si>
  <si>
    <t>Priyanka R.; Sumathi A.; Meganathan S.</t>
  </si>
  <si>
    <t>AI-Powered Insights in Gestational Diabetes Mellitus: A Systematic Review of Predictive and Diagnostic Models</t>
  </si>
  <si>
    <t>Precision Digital Oncology: Disruptive Science in the Fight Against Cancer</t>
  </si>
  <si>
    <t>10.1201/9781003679028-13</t>
  </si>
  <si>
    <t>Rijken L.; Zwetsloot S.; Smorenburg S.; Wolterink J.; Išgum I.; Marquering H.; van Duivenvoorde J.; Ploem C.; Jessen R.; Catarinella F.; Lee R.; Bera K.; Buisan J.; Zhang P.; Dias-Neto M.; Raffort J.; Lareyre F.; Muller C.; Koncar I.; Tomic I.; Živković M.; Djuric T.; Stankovic A.; Venermo M.; Tulamo R.; Behrendt C.-A.; Smit N.; Schijven M.; van den Born B.-J.; Delewi R.; Jongkind V.; Ayyalasomayajula V.; Khee Yeung K.</t>
  </si>
  <si>
    <t>Developing Trustworthy Artificial Intelligence Models to Predict Vascular Disease Progression: the VASCUL-AID-RETRO Study Protocol</t>
  </si>
  <si>
    <t>Journal of Endovascular Therapy</t>
  </si>
  <si>
    <t>10.1177/15266028251313963</t>
  </si>
  <si>
    <t>Piłat P.; Dutczak R.; Gąsior M.; Trzeciak P.</t>
  </si>
  <si>
    <t>Artificial Intelligence in Cardiovascular Risk Prediction: An Up-to-Date Narrative Review on the Emerging Role of Lipid Profile-Based Models</t>
  </si>
  <si>
    <t>Journal of Clinical Medicine</t>
  </si>
  <si>
    <t>10.3390/jcm15156053</t>
  </si>
  <si>
    <t>Kim T.; Phi J.H.</t>
  </si>
  <si>
    <t>Artificial Intelligence in Neurocritical Care: Multimodal Biosignal Analysis for Prognosis, Monitoring, and Future Pediatric Applications</t>
  </si>
  <si>
    <t>Journal of Korean Neurosurgical Society</t>
  </si>
  <si>
    <t>10.3340/jkns.2026.0046</t>
  </si>
  <si>
    <t>Baum J.; Viljoen S.V.; Gifford C.S.; Minnema A.J.; Shaikhouni A.; Grossbach A.J.; Nimjee S.; Farhadi H.F.</t>
  </si>
  <si>
    <t>Baseline parameters and the prediction of treatment failure in patients with intravenous drug use-associated spinal epidural abscesses</t>
  </si>
  <si>
    <t>Journal of Neurosurgery: Spine</t>
  </si>
  <si>
    <t>10.3171/2021.7.SPINE21689</t>
  </si>
  <si>
    <t>Jerin Jose J.J.; Prem Jacob T.P.</t>
  </si>
  <si>
    <t>Multimodal Deep Learning for Early Cardiovascular Risk Prediction: A Systematic Review and the OC-GRU-RAE Framework</t>
  </si>
  <si>
    <t>Proceedings of the IEEE International Conference on AI Engineering and Innovations, AIEI 2026</t>
  </si>
  <si>
    <t>10.1109/AIEI69164.2026.11496658</t>
  </si>
  <si>
    <t>Saranya A.K.S.; Jaya T.</t>
  </si>
  <si>
    <t>CIOT-BASED EARLY DIAGNOSIS OF HEART FAILURE FROM MULTIMODAL DATA USING CHI-SQUARE-BASED DEEP NEURAL CLASSIFIER</t>
  </si>
  <si>
    <t>International Journal of Robotics and Automation</t>
  </si>
  <si>
    <t>10.2316/J.2024.206-0915</t>
  </si>
  <si>
    <t>Li D.; Xing W.; Zhao J.; Shi C.; Wang F.</t>
  </si>
  <si>
    <t>Multimodal deep learning for predicting in-hospital mortality in heart failure patients using longitudinal chest X-rays and electronic health records</t>
  </si>
  <si>
    <t>International Journal of Cardiovascular Imaging</t>
  </si>
  <si>
    <t>10.1007/s10554-025-03322-z</t>
  </si>
  <si>
    <t>EHR + radiografías longitudinales | IC, mortalidad hospitalaria</t>
  </si>
  <si>
    <t>1st International Workshop on Artificial Intelligence for Biomedical Data, AIBio 2025, held in conjunction with the 28th European Conference on Artificial Intelligence, ECAI 2025 1st International Workshop on Artificial Intelligence for Biomedical Data, AIBio 2025, held in conjunction with the 28th European Conference on Artificial Intelligence, ECAI 2025</t>
  </si>
  <si>
    <t>Zhu T.; Howson J.; Nevado-Holgado A.</t>
  </si>
  <si>
    <t>Empowering digital health management with on-device large language models for glucose prediction: a model development and validation study</t>
  </si>
  <si>
    <t>eBioMedicine</t>
  </si>
  <si>
    <t>10.1016/j.ebiom.2026.106343</t>
  </si>
  <si>
    <t>Cahan N.; Klang E.; Marom E.M.; Soffer S.; Barash Y.; Burshtein E.; Konen E.; Greenspan H.</t>
  </si>
  <si>
    <t>Multimodal fusion models for pulmonary embolism mortality prediction</t>
  </si>
  <si>
    <t>10.1038/s41598-023-34303-8</t>
  </si>
  <si>
    <t>Zhang Z.; Li D.; Zhao J.; Ma H.; Wang F.; Hao Q.</t>
  </si>
  <si>
    <t>Heart failure prognosis risk assessment model based on multimodal data fusion and IoT device monitoring</t>
  </si>
  <si>
    <t>Alexandria Engineering Journal</t>
  </si>
  <si>
    <t>10.1016/j.aej.2025.04.066</t>
  </si>
  <si>
    <t>Khan S.; Shah Z.</t>
  </si>
  <si>
    <t>Multimodal attention fusion: Integrating proteomics and body composition for longitudinal type 2 diabetes risk prediction</t>
  </si>
  <si>
    <t>10.1016/j.engappai.2026.115678</t>
  </si>
  <si>
    <t>EHR + proteómica + DXA | DM2 incidente</t>
  </si>
  <si>
    <t>Barada S.; Selvanambi R.</t>
  </si>
  <si>
    <t>Artificial intelligence for early prediction of gestational diabetes mellitus and preeclampsia: a systematic review of machine learning models and clinical decision support systems</t>
  </si>
  <si>
    <t>10.3389/frai.2026.1890320</t>
  </si>
  <si>
    <t>Zhang Y.; Song T.; Wei L.; Wang J.; Pan Y.; Wei G.; Guo Y.; Song H.; Cao W.</t>
  </si>
  <si>
    <t>MAMIFusion: a multimodal data fusion framework based on EHRs for enhancing diabetes prediction accuracy</t>
  </si>
  <si>
    <t>Network Modeling Analysis in Health Informatics and Bioinformatics</t>
  </si>
  <si>
    <t>10.1007/s13721-025-00610-5</t>
  </si>
  <si>
    <t>Teoh J.R.; Hasikin K.; Wong H.D.; Ng W.L.; Lee K.W.; Kiew L.V.; Wu X.; Lai K.W.</t>
  </si>
  <si>
    <t>Multimodal late fusion for heart failure diagnosis using tabular and chest X-ray data: A comparative study of fusion strategies</t>
  </si>
  <si>
    <t>10.1016/j.bspc.2026.110106</t>
  </si>
  <si>
    <t>Sun X.; Guo W.; Shen J.</t>
  </si>
  <si>
    <t>Toward attention-based learning to predict the risk of brain degeneration with multimodal medical data</t>
  </si>
  <si>
    <t>Frontiers in Neuroscience</t>
  </si>
  <si>
    <t>10.3389/fnins.2022.1043626</t>
  </si>
  <si>
    <t>Al-Garadi M.; Desai R.J.; Ngan K.; LeNoue-Newton M.; Reeves R.M.; Park D.; Hernández-Muñoz J.J.; Wang S.V.; Maro J.C.; Fuller C.C.; Kueiyu J.L.; Kuzucan A.; Coughlin K.; Pillai H.; McPheeters M.; Whitaker J.; Buckner J.A.; McLemore M.F.; Westerman D.M.; Matheny M.E.</t>
  </si>
  <si>
    <t>Enhancing cause of death prediction: development and validation of machine learning models using multimodal data across multiple health-care sites</t>
  </si>
  <si>
    <t>JAMIA Open</t>
  </si>
  <si>
    <t>10.1093/jamiaopen/ooaf175</t>
  </si>
  <si>
    <t>Kumar S.; Dusi P.</t>
  </si>
  <si>
    <t>Self-Supervised Multimodal Model for Personalized Health Monitoring Using Visual-Language Integration</t>
  </si>
  <si>
    <t>Procedia Computer Science</t>
  </si>
  <si>
    <t>10.1016/j.procs.2026.01.015</t>
  </si>
  <si>
    <t>Shah D.; Patel N.; Shah B.; Vala M.; Devadkar K.</t>
  </si>
  <si>
    <t>Multimodal Ordinal Regression with Bio+ClinicalBERT for Comprehensive Diabetes Risk Stratification in Electronic Health Records</t>
  </si>
  <si>
    <t>2025 IEEE 7th International Conference on Cybernetics, Cognition and Machine Learning Applications, ICCCMLA 2025</t>
  </si>
  <si>
    <t>10.1109/ICCCMLA66092.2025.11581182</t>
  </si>
  <si>
    <t>Wang Y.; Wang Y.; Luan Y.; Hao M.; Yin W.; Wu B.; Zhu T.; Zhu J.; Zhou B.; Tang L.; Wang J.; Wu J.</t>
  </si>
  <si>
    <t>Multimodal Data-Driven Explainable Prognostic Model for Major Adverse Cardiovascular Events Prediction in Patients With Unstable Angina and Heart Failure With Preserved Ejection Fraction: Multicenter, Cross-Regional Cohort Study</t>
  </si>
  <si>
    <t>Journal of Medical Internet Research</t>
  </si>
  <si>
    <t>10.2196/78402</t>
  </si>
  <si>
    <t>EMR clínico + laboratorio + imagen | MACE en IC y angina inestable</t>
  </si>
  <si>
    <t>Varshney K.; Rana K.; Singla N.</t>
  </si>
  <si>
    <t>Heart Attack Prediction Using Machine Learning: A Systematic Review</t>
  </si>
  <si>
    <t>10.1109/ICISESSC68634.2026.11542741</t>
  </si>
  <si>
    <t>Bagheri A.; Groenhof T.K.J.; Asselbergs F.W.; Haitjema S.; Bots M.L.; Veldhuis W.B.; De Jong P.A.; Oberski D.L.</t>
  </si>
  <si>
    <t>Automatic Prediction of Recurrence of Major Cardiovascular Events: A Text Mining Study Using Chest X-Ray Reports</t>
  </si>
  <si>
    <t>Journal of Healthcare Engineering</t>
  </si>
  <si>
    <t>10.1155/2021/6663884</t>
  </si>
  <si>
    <t>Archana M.A.; Jarina Raihan A.; Jothilakshmi B.; Parthasarathy C.; Kumar T.D.; Lakshmibai T.</t>
  </si>
  <si>
    <t>Multimodal Fusion for AI-Driven Healthcare: Integrating Genomic, EHR, and Wearable Sensor Data in a Federated 6G Framework with Explainable AI</t>
  </si>
  <si>
    <t>Proceedings of the 4th International Conference on Innovative Mechanisms for Industry Applications, ICIMIA 2025</t>
  </si>
  <si>
    <t>10.1109/ICIMIA67127.2025.11200547</t>
  </si>
  <si>
    <t>Jothi Prakash V.; Thiruselvan S.; Chandranath S.; Vikeshkumar M.; Ajay Meenatchi Sundaram M.</t>
  </si>
  <si>
    <t>Multimodal Gated Fusion Framework for Cardiovascular Disease Prediction Using ECG and EHR Data</t>
  </si>
  <si>
    <t>Lecture Notes in Electrical Engineering</t>
  </si>
  <si>
    <t>10.1007/978-981-96-9720-5_41</t>
  </si>
  <si>
    <t>Zhang S.; Wang W.</t>
  </si>
  <si>
    <t>Multimodal fusion of EHR and ECG based on deep learning for predicting new-onset coronary heart disease in cancer patients</t>
  </si>
  <si>
    <t>10.3389/fcvm.2026.1834641</t>
  </si>
  <si>
    <t>Al Anber A.; Al Ghazo A.T.; Algazo L.; Masa’deh T.; Megdadi W.</t>
  </si>
  <si>
    <t>Pharmacogenomics and Personalized Medicine: Leveraging AI and Machine Learning for Optimized Therapies</t>
  </si>
  <si>
    <t>Natural Resources for Human Health</t>
  </si>
  <si>
    <t>Rech L.</t>
  </si>
  <si>
    <t>From Automated ECG Interpretation to Multimodal Cardiovascular Intelligence: The Evolution of Artificial Intelligence in Cardiovascular Medicine</t>
  </si>
  <si>
    <t>Medical sciences</t>
  </si>
  <si>
    <t>10.3390/medsci14040434</t>
  </si>
  <si>
    <t>Dao C.-T.; Phan N.M.T.; Ding J.-E.; Wu C.; Restrepo D.; Luo D.; Zhao F.; Liao C.-C.; Peng W.-C.; Wang C.-T.; Chen P.-F.; Chen L.; Ju X.; Liu F.; Hung F.-M.</t>
  </si>
  <si>
    <t>CURENet: combining unified representations for efficient chronic disease prediction</t>
  </si>
  <si>
    <t>Health Information Science and Systems</t>
  </si>
  <si>
    <t>10.1007/s13755-025-00396-w</t>
  </si>
  <si>
    <t>Notas + labs + series temporales | Enfermedad crónica</t>
  </si>
  <si>
    <t>Krieger J.E.</t>
  </si>
  <si>
    <t>Clinical cognition in the age of cardiovascular AI</t>
  </si>
  <si>
    <t>10.3389/fcvm.2026.1872551</t>
  </si>
  <si>
    <t>Salvatore M.; Mondul A.M.; Friese C.R.; Hanauer D.; Xu H.; Pearce C.L.; Mukherjee B.</t>
  </si>
  <si>
    <t>Impacts of sample weighting on transferability of risk prediction models across EHR-Linked biobanks with different recruitment strategies</t>
  </si>
  <si>
    <t>Journal of Biomedical Informatics</t>
  </si>
  <si>
    <t>10.1016/j.jbi.2025.104853</t>
  </si>
  <si>
    <t>Sim H.; Ha H.-H.; Kim H.</t>
  </si>
  <si>
    <t>Integrated biomarker analysis and next-generation AI for precision diabetes prediction</t>
  </si>
  <si>
    <t>Toxicological Research</t>
  </si>
  <si>
    <t>10.1007/s43188-025-00312-0</t>
  </si>
  <si>
    <t>Li W.; Liu T.; Feng F.; Yu S.; Wang H.; Sun Y.</t>
  </si>
  <si>
    <t>BTSSPro: Prompt-Guided Multimodal Co-Learning for Breast Cancer Tumor Segmentation and Survival Prediction</t>
  </si>
  <si>
    <t>10.1109/JBHI.2024.3407772</t>
  </si>
  <si>
    <t>Sravanthi A.L.; Al-Ashmawy S.; Kaur C.; Ansari M.S.A.; Saravanan K.A.; Vuyyuru V.A.</t>
  </si>
  <si>
    <t>Utilizing Multimodal Medical Data and a Hybrid Optimization Model to Improve Diabetes Prediction</t>
  </si>
  <si>
    <t>International Journal of Advanced Computer Science and Applications</t>
  </si>
  <si>
    <t>10.14569/IJACSA.2023.0141176</t>
  </si>
  <si>
    <t>Sahoo P.C.; Pattanayak B.K.; Mohanty R.K.; Mohanty A.K.</t>
  </si>
  <si>
    <t>DESIGN OF AN IMPROVED MODEL FOR CARDIOVASCULAR DISEASE DETECTION USING DEEP CANONICAL CORRELATION ANALYSIS AND BIOINSPIRED OPTIMIZATION</t>
  </si>
  <si>
    <t>Journal of Mechanics of Continua and Mathematical Sciences</t>
  </si>
  <si>
    <t>10.26782/jmcms.2025.06.00008</t>
  </si>
  <si>
    <t>Nagineni S.; Nagavelli R.</t>
  </si>
  <si>
    <t>A Survey of Multimodal Deep Learning Frameworks for Cardiovascular Disease Prediction and Personalized Risk Stratification</t>
  </si>
  <si>
    <t>7th International Conference on Mobile Computing and Sustainable Informatics, ICMCSI 2026</t>
  </si>
  <si>
    <t>10.1109/ICMCSI67283.2026.11412558</t>
  </si>
  <si>
    <t>Lin C.; Chen K.-C.; Huang J.-W.; Fang W.-H.; Chang W.-C.; Ko K.-H.; Hsu Y.-C.; Lin C.-S.; Lin S.-H.; Tsai D.-J.</t>
  </si>
  <si>
    <t>Transparent chest radiograph foundation model enables explainable human disease profiling</t>
  </si>
  <si>
    <t>10.1038/s41746-026-02990-y</t>
  </si>
  <si>
    <t>Hu L.; Qiao Z.; Xu M.; Feng J.; Shan Q.; Sheng X.; Xu G.; Xu Y.; Hu W.; Wang G.; Jin X.</t>
  </si>
  <si>
    <t>Establishment and validation of a 3-month prediction model for poor functional outcomes in patients with acute cardiogenic cerebral embolism related to non-valvular atrial fibrillation</t>
  </si>
  <si>
    <t xml:space="preserve">Frontiers in Neurology </t>
  </si>
  <si>
    <t>10.3389/fneur.2024.1392568</t>
  </si>
  <si>
    <t>Liu D.; Zhang G.; Post W.; Dahlweid M.; Sun H.</t>
  </si>
  <si>
    <t>Multimodal Cardiovascular Disease Detection Using ECG Image and EHR</t>
  </si>
  <si>
    <t>Studies in Health Technology and Informatics</t>
  </si>
  <si>
    <t>10.3233/SHTI260205</t>
  </si>
  <si>
    <t>Kim D.; Wu V.; To M.N.N.; Khodabahkshian B.; Hashemi N.; Abdalla S.; Tsang T.S.M.; Abolmaesumi P.; Luong C.</t>
  </si>
  <si>
    <t>TREAT-Netv2: regional wall motion-informed video–tabular fusion for ACS treatment prediction</t>
  </si>
  <si>
    <t xml:space="preserve">International Journal of Computer Assisted Radiology and Surgery </t>
  </si>
  <si>
    <t>10.1007/s11548-026-03652-w</t>
  </si>
  <si>
    <t>Farias Cacao G.; Du D.; Nair N.</t>
  </si>
  <si>
    <t>Pre-implant echocardiography plus EHR for post-LVAD risk stratification for survival: Single-center exploratory study</t>
  </si>
  <si>
    <t>International Journal of Artificial Organs</t>
  </si>
  <si>
    <t>10.1177/03913988261463234</t>
  </si>
  <si>
    <t>Chakraborti T.; Basu S.</t>
  </si>
  <si>
    <t>Editorial</t>
  </si>
  <si>
    <t>Transparent AI methods using multimodal biomedical data</t>
  </si>
  <si>
    <t>Methods</t>
  </si>
  <si>
    <t>10.1016/j.ymeth.2026.07.012</t>
  </si>
  <si>
    <t>Sharma V.; Chawla G.K.; Kukreti S.; Ahuja K.; Singh S.</t>
  </si>
  <si>
    <t>Artificial intelligence and machine learning in cardiovascular medicine: current applications, clinical evidence, and future directions</t>
  </si>
  <si>
    <t>Exploration of Medicine</t>
  </si>
  <si>
    <t>10.37349/emed.2026.1001383</t>
  </si>
  <si>
    <t>Kumar R.V.; Selvakumar A.</t>
  </si>
  <si>
    <t>Federated Variational Multi-Modal Transformer for Privacy-Preserving Disease Prognosis in Edge-Deployed IoMT Networks</t>
  </si>
  <si>
    <t>Proceedings of 9th International Conference on Trends in Electronics and Informatics, ICOEI 2026</t>
  </si>
  <si>
    <t>10.1109/ICOEI68323.2026.11541855</t>
  </si>
  <si>
    <t>Parsa S.; Shah P.; Doijad R.; Rodriguez F.</t>
  </si>
  <si>
    <t>Artificial Intelligence in Ischemic Heart Disease Prevention</t>
  </si>
  <si>
    <t>Current Cardiology Reports</t>
  </si>
  <si>
    <t>10.1007/s11886-025-02203-0</t>
  </si>
  <si>
    <t>Shahverdi E.; Shahverdi A.; Kamali S.; Herda L.R.</t>
  </si>
  <si>
    <t>Clinical applications of artificial intelligence in hypertension management: current evidence and future perspectives; [Klinische Anwendungen künstlicher Intelligenz im Hypertoniemanagement: Aktuelle Evidenz und Zukunftsperspektiven]</t>
  </si>
  <si>
    <t>Herz</t>
  </si>
  <si>
    <t>10.1007/s00059-026-05389-3</t>
  </si>
  <si>
    <t>Rani R.</t>
  </si>
  <si>
    <t>Optimized Heart Failure Prediction using Support Vector Machine Algorithms</t>
  </si>
  <si>
    <t>Proceedings of the 5th International Conference on Smart Electronics and Communication, ICOSEC 2024</t>
  </si>
  <si>
    <t>10.1109/ICOSEC61587.2024.10722131</t>
  </si>
  <si>
    <t>Wang J.; Gao Y.; Wang F.; Zeng S.; Li J.; Miao H.; Wang T.; Zeng J.; Baptista-Hon D.; Monteiro O.; Guan T.; Cheng L.; Lu Y.; Luo Z.; Li M.; Zhu J.-K.; Nie S.; Zhang K.; Zhou Y.</t>
  </si>
  <si>
    <t>Accurate estimation of biological age and its application in disease prediction using a multimodal image Transformer system</t>
  </si>
  <si>
    <t>Proceedings of the National Academy of Sciences of the United States of America</t>
  </si>
  <si>
    <t>10.1073/pnas.2308812120</t>
  </si>
  <si>
    <t>Postiglione M.; Esposito G.; Izzo R.; La Gatta V.; Moscato V.; Piccolo R.</t>
  </si>
  <si>
    <t>Harnessing Multi-modality and Expert Knowledge for Adverse Events Prediction in Clinical Notes</t>
  </si>
  <si>
    <t>Lecture Notes in Computer Science (including subseries Lecture Notes in Artificial Intelligence and Lecture Notes in Bioinformatics)</t>
  </si>
  <si>
    <t>10.1007/978-3-031-51026-7_11</t>
  </si>
  <si>
    <t>Ma M.; Wang X.</t>
  </si>
  <si>
    <t>Prediction of coronary heart disease risk based on multimodal EHRs</t>
  </si>
  <si>
    <t>2023 2nd International Conference on Health Big Data and Intelligent Healthcare, ICHIH 2023</t>
  </si>
  <si>
    <t>10.1109/ICHIH60370.2023.10396217</t>
  </si>
  <si>
    <t>Fei Y.; Liu S.; Tong T.; Zhang X.; Wang H.; Liu J.; Zheng X.</t>
  </si>
  <si>
    <t>Multimodal Machine Learning Integrating Clinical and Proteomic Data for Early Prediction of Hypertensive Complications: A UKB Longitudinal Study</t>
  </si>
  <si>
    <t xml:space="preserve">Journal of the American Heart Association </t>
  </si>
  <si>
    <t>10.1161/JAHA.125.048151</t>
  </si>
  <si>
    <t>EHR + proteómica | HTA, complicaciones</t>
  </si>
  <si>
    <t>Patel K.K.; Saxena P.; Kumar B.</t>
  </si>
  <si>
    <t>Early Prediction of Silent Cardiac Death Using Cross Modal Attention Based Multimodal Diagnostic Framework for Clinical Evaluation</t>
  </si>
  <si>
    <t>Concurrency and Computation: Practice and Experience</t>
  </si>
  <si>
    <t>10.1002/cpe.70899</t>
  </si>
  <si>
    <t>Zheng Y.; Zhao F.; Liu X.; Liu M.; Yang M.; Zhang C.; Luo X.</t>
  </si>
  <si>
    <t>A Multimodal Deep Learning Framework for Predicting Cardiovascular Deterioration Based on MIMIC-IV Dataset</t>
  </si>
  <si>
    <t>Proceedings of 2025 6th International Symposium on Artificial Intelligence for Medical Sciences, ISAIMS 2025</t>
  </si>
  <si>
    <t>10.1145/3777577.3777712</t>
  </si>
  <si>
    <t>Tang L.; Wu M.; Xu Y.; Zhu T.; Fang C.; Ma K.; Wang J.</t>
  </si>
  <si>
    <t>Multimodal data-driven prognostic model for predicting new-onset ST-elevation myocardial infarction following emergency percutaneous coronary intervention</t>
  </si>
  <si>
    <t>Inflammation Research</t>
  </si>
  <si>
    <t>10.1007/s00011-023-01781-5</t>
  </si>
  <si>
    <t>Sathya S.; Saranya K.</t>
  </si>
  <si>
    <t>Quantum-optimized spatio-temporal transformer for multimodal cardiovascular risk prediction from clinical and wearable data</t>
  </si>
  <si>
    <t>10.3389/fcvm.2026.1824194</t>
  </si>
  <si>
    <t>Zhou Y.; Khasentino J.; Yun T.; Biradar M.I.; Shreibati J.; Lai D.; Schwantes-An T.-H.; Luben R.; McCaw Z.R.; Engmann J.; Providencia R.; Schmidt A.F.; Munroe P.B.; Yang H.; Carroll A.; Khawaja A.P.; McLean C.Y.; Behsaz B.; Hormozdiari F.</t>
  </si>
  <si>
    <t>Applying multimodal AI to physiological waveforms improves genetic prediction of cardiovascular traits</t>
  </si>
  <si>
    <t>American Journal of Human Genetics</t>
  </si>
  <si>
    <t>10.1016/j.ajhg.2025.05.015</t>
  </si>
  <si>
    <t>Predicting Chemotherapy-Induced Peripheral Neuropathy Using Transformer-Based Multimodal Deep Learning</t>
  </si>
  <si>
    <t>Research</t>
  </si>
  <si>
    <t>10.34133/research.0795</t>
  </si>
  <si>
    <t>Zhang S.; Hu D.; Luo L.; Cao J.</t>
  </si>
  <si>
    <t>Correlative analysis between ocular surface features and carotid plaque : A multimodal machine learning framework</t>
  </si>
  <si>
    <t>Computer Methods and Programs in Biomedicine</t>
  </si>
  <si>
    <t>10.1016/j.cmpb.2026.109265</t>
  </si>
  <si>
    <t>Slivnick J.A.; Lim S.C.; Randazzo M.; Maurer M.S.; Helmke S.; Scherrer-Crosbie M.; Vakilpour A.; Zareba K.M.; Goyal A.; Cheng R.; Nakamatsu N.; Kitano T.; Takeuchi M.; Hotta V.T.; Campos Vieira M.L.; Elissamburu P.; Ronderos R.E.; Prado A.; Koutroumpakis E.; Deswal A.; Pursnani A.; Sarswat N.; Addetia K.; Cotella J.; Ruberg F.L.; Frost M.; Fontana M.; Lam Su Ping C.; Lang R.M.; Asch F.M.</t>
  </si>
  <si>
    <t>Multimodal Artificial Intelligence for Cardiac Amyloidosis Diagnosis: Integrating Echocardiography With Clinical and Laboratory Data for Improved Detection</t>
  </si>
  <si>
    <t>Circulation: Cardiovascular Imaging</t>
  </si>
  <si>
    <t>10.1161/CIRCIMAGING.126.019610</t>
  </si>
  <si>
    <t>Giubilato S.; Casolo G.</t>
  </si>
  <si>
    <t>The application of artificial intelligence for the management and monitoring of patients with cardiovascular diseases; [L’applicazione dell’intelligenza artificiale nella gestione e nel monitoraggio dei pazienti con malattie cardiovascolari]</t>
  </si>
  <si>
    <t>Giornale Italiano di Cardiologia</t>
  </si>
  <si>
    <t>ACM-BCB 2026 - 17th ACM International Conference on Bioinformatics, Computational Biology and Health Informatics</t>
  </si>
  <si>
    <t>Oncu E.; Ciftci F.</t>
  </si>
  <si>
    <t>Multimodal AI framework for lung cancer diagnosis: Integrating CNN and ANN models for imaging and clinical data analysis</t>
  </si>
  <si>
    <t>10.1016/j.compbiomed.2025.110488</t>
  </si>
  <si>
    <t>Bai B.; Liu X.; Li H.</t>
  </si>
  <si>
    <t>Federated multimodal AI for precision-equitable diabetes care</t>
  </si>
  <si>
    <t>Frontiers in Digital Health</t>
  </si>
  <si>
    <t>10.3389/fdgth.2025.1678047</t>
  </si>
  <si>
    <t>Hasan A.M.; Najm S.M.; Alkhalid F.F.; Nasser A.R.; Al-Araji A.S.; Humaidi A.J.</t>
  </si>
  <si>
    <t>Hybrid multimodal heart failure predicting technique based on structural EHR and sequential ECG signals</t>
  </si>
  <si>
    <t>Discover Computing</t>
  </si>
  <si>
    <t>10.1007/s10791-026-10286-8</t>
  </si>
  <si>
    <t>Gao W.; Wang M.; Lin J.; Huang J.; Cai L.; Chen X.; Zhu R.</t>
  </si>
  <si>
    <t>White matter hyperintensity burden and infarct volume predict functional outcomes in anterior choroidal artery stroke: a multimodal MRI study</t>
  </si>
  <si>
    <t>10.3389/fnins.2025.1625882</t>
  </si>
  <si>
    <t>Abdalla H.M.; Bacon A.; VanDolah H.; Dreher L.; Scalia I.; Eldeib A.; Laffaye T.; Abdelnabi M.; Ibrahim R.; Pathangey G.; Arsanjani R.; Ayoub C.</t>
  </si>
  <si>
    <t>Artificial intelligence across the cardiovascular diagnostic pathway: a case-based narrative review</t>
  </si>
  <si>
    <t>Cardiovascular Diagnosis and Therapy</t>
  </si>
  <si>
    <t>10.21037/cdt-2025-aw-550</t>
  </si>
  <si>
    <t>Ghaffari Jolfayi A.; Montazeri S.; Poopak A.; Soheili A.; Tavakoli A.M.; Salmanipour A.; Adimi S.; Rezaei-Kalantari K.</t>
  </si>
  <si>
    <t>AI-Driven Risk Stratification in Cardiology: Predicting Cardiovascular Outcomes, Sudden Cardiac Death, Cardiotoxicity, and Heart Failure with CMR</t>
  </si>
  <si>
    <t>Navigating Cardiology's Future AI in MRI Imaging and Outcome Projections</t>
  </si>
  <si>
    <t>10.1007/978-981-95-0313-1_8</t>
  </si>
  <si>
    <t>Sushma S.; Pandi T.S.; Brindha G.</t>
  </si>
  <si>
    <t>Multimodal Disease Prediction: A Hybrid Approach Combining Machine Learning, Deep Learning, YOLO, and SAM for Diverse Disease Detection</t>
  </si>
  <si>
    <t>2024 International Conference on Artificial Intelligence and Quantum Computation-Based Sensor Applications, ICAIQSA 2024 - Proceedings</t>
  </si>
  <si>
    <t>10.1109/ICAIQSA64000.2024.10882462</t>
  </si>
  <si>
    <t>Kanimozhi T.; Hemanth Kumar Yadav G.; Prabhavathi K.; Sunkari V.; Benarji S.P.; Arivunambi A.; Thirumoorthy P.; Karthikeyan T.; Jala J.; Mohan B.H.K.; Vengatesh T.</t>
  </si>
  <si>
    <t>A FEDERATED LEARNING APPROACH FOR ROBUST HEART DISEASE RISK SCORING FROM DISTRIBUTED DATA</t>
  </si>
  <si>
    <t>Journal of Theoretical and Applied Information Technology</t>
  </si>
  <si>
    <t>Kang J.; Kim H.J.; Yim Y.; Kim M.S.; Park J.; Son Y.; Fond G.; Boyer L.; Yon D.K.; Nehs C.J.</t>
  </si>
  <si>
    <t>Wearable-derived REM sleep as a modifiable risk factor for cardiovascular disease: A multimodal prediction model in the All of Us Research Program</t>
  </si>
  <si>
    <t>Progress in Cardiovascular Diseases</t>
  </si>
  <si>
    <t>10.1016/j.pcad.2026.03.002</t>
  </si>
  <si>
    <t>EHR + wearable (Fitbit) | ECV incidente</t>
  </si>
  <si>
    <t>Sabin T.T.; Sunitha B.S.</t>
  </si>
  <si>
    <t>Multimodal Prediction of COVID-19 ICU Admissions and Demand Using Clinical, Governmental, and Social Media Data with GBM and LSTM Models</t>
  </si>
  <si>
    <t>Engineering, Technology and Applied Science Research</t>
  </si>
  <si>
    <t>10.48084/etasr.12756</t>
  </si>
  <si>
    <t>van de Beld J.-J.; Crull D.; Mikhal J.; Geerdink J.; Veldhuis A.; Poel M.; Kouwenhoven E.A.</t>
  </si>
  <si>
    <t>Complication Prediction after Esophagectomy with Machine Learning</t>
  </si>
  <si>
    <t>10.3390/diagnostics14040439</t>
  </si>
  <si>
    <t>Harzand A.; Ross E.G.; Weissler E.H.; Zheng Y.; Shah N.H.; Alabi O.; Attia Z.I.; Beckman J.A.</t>
  </si>
  <si>
    <t>Artificial Intelligence in Peripheral Artery Disease: A Science Advisory From the American Heart Association</t>
  </si>
  <si>
    <t>Circulation Population Health and Outcomes</t>
  </si>
  <si>
    <t>10.1161/HCQ.0000000000000146</t>
  </si>
  <si>
    <t>Miranda O.; Fan P.; Qi X.; Wang H.; Brannock M.D.; Kosten T.; Ryan N.D.; Kirisci L.; Wang L.</t>
  </si>
  <si>
    <t>Prediction of adverse events risk in patients with comorbid post-traumatic stress disorder and alcohol use disorder using electronic medical records by deep learning models</t>
  </si>
  <si>
    <t>Drug and Alcohol Dependence</t>
  </si>
  <si>
    <t>10.1016/j.drugalcdep.2023.111066</t>
  </si>
  <si>
    <t>Proceedings of the 11th ACM International Conference on Bioinformatics, Computational Biology and Health Informatics, BCB 2020</t>
  </si>
  <si>
    <t>Sivarajkumar S.; Zhang H.; Ji Y.; Bilalpur M.; Wu X.; Li C.; Kwak M.G.; Visweswaran S.; Wang Y.</t>
  </si>
  <si>
    <t>A multimodal generative model for structured and unstructured electronic health records</t>
  </si>
  <si>
    <t>npj Health Systems</t>
  </si>
  <si>
    <t>10.1038/s44401-026-00095-y</t>
  </si>
  <si>
    <t>EHR series temporales + notas | IC, DM2, reingreso</t>
  </si>
  <si>
    <t>Huang Z.; Pan W.; Alishetti S.; Beecy A.N.; Liu Z.; Gong A.; Shin S.; Clerkin K.J.; Goldsmith R.L.; Majure D.T.; Kelsey C.; vanMaanan D.; Ruhl J.; Tesfuzigta N.; Lancet E.; Kumaraiah D.; Sayer G.; Estrin D.; Weinberger K.; Uriel N.; Wang F.</t>
  </si>
  <si>
    <t>Multimodal multi-instance learning for cardiopulmonary exercise testing performance prediction</t>
  </si>
  <si>
    <t>10.1038/s41746-026-02493-w</t>
  </si>
  <si>
    <t>Ramdani S.; Rhalem W.; Chergui I.; El Fayq S.; Haddiya I.</t>
  </si>
  <si>
    <t>From Prediction to Understanding: Explainable and Equitable Artificial Intelligence in Hypertension Care</t>
  </si>
  <si>
    <t>10.1007/978-3-032-30563-3_47</t>
  </si>
  <si>
    <t>Zorko Garbajs N.; Nasr D.M.; Bellolio F.; Howick A.S.; Vanmeter D.E.; Mullan A.F.; Rabinstein A.A.</t>
  </si>
  <si>
    <t>Etiology and characteristics of non-aneurysmal thunderclap headache presenting to an acute setting</t>
  </si>
  <si>
    <t>American Journal of Emergency Medicine</t>
  </si>
  <si>
    <t>10.1016/j.ajem.2024.09.031</t>
  </si>
  <si>
    <t>Khan S.; Biswas M.R.; Shah Z.</t>
  </si>
  <si>
    <t>Early Prediction of Type 2 Diabetes Using Multimodal data and Tabular Transformers</t>
  </si>
  <si>
    <t>2025 3rd International Conference on Foundation and Large Language Models, FLLM 2025</t>
  </si>
  <si>
    <t>10.1109/FLLM67465.2025.11391053</t>
  </si>
  <si>
    <t>Shan Y.; Yu J.; Huang Z.</t>
  </si>
  <si>
    <t>Gestational diabetes mellitus prediction using image-encoded electronic medical records and Transformer-based fusion</t>
  </si>
  <si>
    <t>Computer Methods in Biomechanics and Biomedical Engineering</t>
  </si>
  <si>
    <t>10.1080/10255842.2025.2573868</t>
  </si>
  <si>
    <t>Lin Z.; Adeniran E.A.; Cai Y.; Qureshi T.A.; Li D.; Gong J.; Li J.; Pandol S.J.; Jiang Y.</t>
  </si>
  <si>
    <t>Early Detection of Pancreatic Cancer: Current Advances and Future Opportunities</t>
  </si>
  <si>
    <t>Biomedicines</t>
  </si>
  <si>
    <t>10.3390/biomedicines13071733</t>
  </si>
  <si>
    <t>Mao Y.; Wu L.; Qiao W.; Zhou C.; Guo J.; Dai Y.</t>
  </si>
  <si>
    <t>Multimodal radiomics prediction of long-term postoperative prognosis in non–small cell lung cancer patients based on CT imaging</t>
  </si>
  <si>
    <t>Current Problems in Surgery</t>
  </si>
  <si>
    <t>10.1016/j.cpsurg.2026.101992</t>
  </si>
  <si>
    <t>Domingo-Aldama A.G.</t>
  </si>
  <si>
    <t>Early Explanatory Prediction of Cardiovascular Risk</t>
  </si>
  <si>
    <t>CEUR Workshop Proceedings</t>
  </si>
  <si>
    <t>Gao Z.; Liu X.; Kang Y.; Hu P.; Zhang X.; Yan W.; Yan M.; Yu P.; Zhang Q.; Xiao W.; Zhang Z.</t>
  </si>
  <si>
    <t>Improving the Prognostic Evaluation Precision of Hospital Outcomes for Heart Failure Using Admission Notes and Clinical Tabular Data: Multimodal Deep Learning Model</t>
  </si>
  <si>
    <t>10.2196/54363</t>
  </si>
  <si>
    <t>Notas clínicas + tabular | IC, mortalidad hospitalaria</t>
  </si>
  <si>
    <t>Yuan S.; Guo L.; Xu F.</t>
  </si>
  <si>
    <t>Artificial intelligence in nephrology: predicting CKD progression and personalizing treatment</t>
  </si>
  <si>
    <t>International Urology and Nephrology</t>
  </si>
  <si>
    <t>10.1007/s11255-025-04878-4</t>
  </si>
  <si>
    <t>Alsaify A.R.; Siam A.; Hassan H.; Alzubaidi M.; Househ M.</t>
  </si>
  <si>
    <t>The Use of Deep Learning in the Diagnosis and Prediction of Heart Failure: A scoping review</t>
  </si>
  <si>
    <t>ACM International Conference Proceeding Series</t>
  </si>
  <si>
    <t>10.1145/3673971.3673973</t>
  </si>
  <si>
    <t>Lee C.-K.; Chen T.-L.; Wu J.-E.; Liao M.-T.; Wang C.; Wang W.; Chou C.-Y.</t>
  </si>
  <si>
    <t>Multimodal deep learning models utilizing chest X-ray and electronic health record data for predictive screening of acute heart failure in emergency department</t>
  </si>
  <si>
    <t>10.1016/j.cmpb.2024.108357</t>
  </si>
  <si>
    <t>Dar F.A.; Asif I.M.; Ahmed I.</t>
  </si>
  <si>
    <t>AI-Powered Digital Twin for Personalised Healthcare in the NHS</t>
  </si>
  <si>
    <t>Proceedings of the 2026 20th International Conference on Ubiquitous Information Management and Communication, IMCOM 2026</t>
  </si>
  <si>
    <t>10.1109/IMCOM69009.2026.11360793</t>
  </si>
  <si>
    <t>Su Y.; Peng Q.; Yin L.; Li C.</t>
  </si>
  <si>
    <t>Letter</t>
  </si>
  <si>
    <t>Regarding: “Exercise Stress Echocardiography Predicts Adverse Cardiovascular Events in Hypertrophic Cardiomyopathy: A 5-Year Prospective Study”</t>
  </si>
  <si>
    <t>Reviews in Cardiovascular Medicine</t>
  </si>
  <si>
    <t>10.31083/RCM49547</t>
  </si>
  <si>
    <t>Bihri H.; Sraidi S.; Jamal H.; Azzouzi S.; Charaf M.E.H.</t>
  </si>
  <si>
    <t>Real-Time Cardiovascular Health Monitoring Through a Multimodal Data Integration Framework</t>
  </si>
  <si>
    <t>10.1007/978-981-96-6435-1_20</t>
  </si>
  <si>
    <t>Bhattacharya A.; Sadasivuni S.; Chao C.-J.; Agasthi P.; Ayoub C.; Holmes D.R.; Arsanjani R.; Sanyal A.; Banerjee I.</t>
  </si>
  <si>
    <t>Multi-modal fusion model for predicting adverse cardiovascular outcome post percutaneous coronary intervention</t>
  </si>
  <si>
    <t>Physiological Measurement</t>
  </si>
  <si>
    <t>10.1088/1361-6579/ac9e8a</t>
  </si>
  <si>
    <t>ECG + EMR | Post-PCI, eventos CV</t>
  </si>
  <si>
    <t>Suneetha A.R.V.N.; Sujatha K.</t>
  </si>
  <si>
    <t>Wasserstein Deep Convolutional GAN With Growth Optimizer for Multi-Modal Feature Extraction in Cardiovascular Diagnosis</t>
  </si>
  <si>
    <t>Catheterization and Cardiovascular Interventions</t>
  </si>
  <si>
    <t>10.1002/ccd.70728</t>
  </si>
  <si>
    <t>Shin S.; Lee S.; Kim K.; Lee H.; Song G.</t>
  </si>
  <si>
    <t>SNP Position Filtering and Multimodal Approach in Heart Failure Risk Prediction</t>
  </si>
  <si>
    <t>Proceedings of the IEEE International Conference on Big Data and Smart Computing, BIGCOMP</t>
  </si>
  <si>
    <t>10.1109/BigComp64353.2025.00067</t>
  </si>
  <si>
    <t>Yu S.; Guan Z.; Wang S.; Mao H.; Sheng B.; Jia W.; Li H.</t>
  </si>
  <si>
    <t>Artificial intelligence for diabetes complications: Detection, prediction, and clinical management</t>
  </si>
  <si>
    <t>EngMedicine</t>
  </si>
  <si>
    <t>10.1016/j.engmed.2026.100133</t>
  </si>
  <si>
    <t>Lan L.; Luo J.-W.; Li R.; Guan L.; Wang X.; Yin J.; Wang Y.-L.</t>
  </si>
  <si>
    <t>Noncontact Monitoring and AI-Driven Stroke Prediction: National Center for Neurological Disorders-Based Approach Using Smart Beds</t>
  </si>
  <si>
    <t>Health Care Science</t>
  </si>
  <si>
    <t>10.1002/hcs2.70034</t>
  </si>
  <si>
    <t>Soto J.T.; Weston Hughes J.; Sanchez P.A.; Perez M.; Ouyang D.; Ashley E.A.</t>
  </si>
  <si>
    <t>Multimodal deep learning enhances diagnostic precision in left ventricular hypertrophy</t>
  </si>
  <si>
    <t>European Heart Journal - Digital Health</t>
  </si>
  <si>
    <t>10.1093/ehjdh/ztac033</t>
  </si>
  <si>
    <t>Qi J.; Li L.; Duan H.; Sun Y.; Zhang J.</t>
  </si>
  <si>
    <t>Integrating neuroimaging and plasma biomarkers to predict preclinical Alzheimer’s disease progression</t>
  </si>
  <si>
    <t>10.3389/fneur.2026.1801239</t>
  </si>
  <si>
    <t>Coblentz D.; Dong A.; Crivelli S.; Zamora-Resendiz R.; Ayo-Durojaiye I.; Qian C.</t>
  </si>
  <si>
    <t>Deep Phenotyping of Obstructive Sleep Apnea Using Multimodal Representation Learning</t>
  </si>
  <si>
    <t>Proceedings - IEEE International Conference on Semantic Computing, ICSC</t>
  </si>
  <si>
    <t>10.1109/ICSC67292.2026.00064</t>
  </si>
  <si>
    <t>Ahuja Y.; Zou Y.; Verma A.; Buckeridge D.; Li Y.</t>
  </si>
  <si>
    <t>MixEHR-Guided: A guided multi-modal topic modeling approach for large-scale automatic phenotyping using the electronic health record</t>
  </si>
  <si>
    <t>10.1016/j.jbi.2022.104190</t>
  </si>
  <si>
    <t>Ganeshan N.; Magesh G.</t>
  </si>
  <si>
    <t>Deep learning for cardiovascular disease: a comprehensive review of detection and risk forecasting</t>
  </si>
  <si>
    <t>10.3389/frai.2026.1840804</t>
  </si>
  <si>
    <t>Carletti M.; Pandit J.; Gadaleta M.; Chiang D.; Delgado F.; Quartuccio K.; Fernandez B.; Raygoza Garay J.A.; Torkamani A.; Miotto R.; Rossman H.; Berk B.; Baca-Motes K.; Kheterpal V.; Segal E.; Topol E.J.; Ramos E.; Quer G.</t>
  </si>
  <si>
    <t>Multimodal AI correlates of glucose spikes in people with normal glucose regulation, pre-diabetes and type 2 diabetes</t>
  </si>
  <si>
    <t>Nature Medicine</t>
  </si>
  <si>
    <t>10.1038/s41591-025-03849-7</t>
  </si>
  <si>
    <t>Cohen L.E.; Aydin E.; Kaplan C.; Patel D.; Rooney T.; Tubassum R.; Lieb W.; De Witte L.D.; Bergink V.; Perez-Rodriguez M.; Rommel A.-S.</t>
  </si>
  <si>
    <t>Examining the association between prenatal inflammation and postpartum depression in a large, prospective pregnancy cohort in New York City</t>
  </si>
  <si>
    <t>Brain, Behavior, and Immunity</t>
  </si>
  <si>
    <t>10.1016/j.bbi.2026.106593</t>
  </si>
  <si>
    <t>Ostinelli E.G.; Jaquiery M.; Liu Q.; Elgarf R.; Haque N.; Potts J.; Li Z.; Efthimiou O.; Markham S.; Ede R.; Wainwright L.; Fernandes K.B.P.; Fernandes B.B.P.; Dalaqua P.V.C.; Tomlinson A.; Smith K.A.; Zangani C.; De Crescenzo F.; Liboni M.; Mulsant B.H.; Cipriani A.</t>
  </si>
  <si>
    <t>Personalising Antidepressant Treatment for Unipolar Depression Combining Individual Choices, Risks and big Data: The PETRUSHKA Tool: Personnalisation du traitement antidépresseur de la dépression unipolaire associant choix individuels, risques et mégadonnées: l’outil PETRUSHKA</t>
  </si>
  <si>
    <t>Canadian Journal of Psychiatry</t>
  </si>
  <si>
    <t>10.1177/07067437251322399</t>
  </si>
  <si>
    <t>Alshorman J.; Mehran M.J.; Bahrami Y.; Mohammadzadeh S.; Barzigar R.; Morshedi M.; Haider K.H.; Tembo K.M.; Rong S.-J.; Jadgal N.; Altahla R.; Bolideei M.; Wang Y.</t>
  </si>
  <si>
    <t>Artificial intelligence in immunotherapy: revolutionizing diagnostic and therapeutic applications in cancer and autoimmune diseases</t>
  </si>
  <si>
    <t>Clinical and Experimental Medicine</t>
  </si>
  <si>
    <t>10.1007/s10238-026-02107-5</t>
  </si>
  <si>
    <t>PRISMA 2020 — Flujo (Scopus, exportación del 1/10/2026)</t>
  </si>
  <si>
    <t>Identificación</t>
  </si>
  <si>
    <t>Registros identificados en Scopus (archivo CSV exportado)</t>
  </si>
  <si>
    <t>Hoja Cribado, una fila por registro</t>
  </si>
  <si>
    <t>Duplicados eliminados</t>
  </si>
  <si>
    <t>Verificado: 0 títulos y 0 DOI repetidos en el CSV</t>
  </si>
  <si>
    <t>Cribado (título/resumen)</t>
  </si>
  <si>
    <t>Registros cribados</t>
  </si>
  <si>
    <t>Excluidos en cribado (R1 a R5)</t>
  </si>
  <si>
    <t xml:space="preserve">   R1 No es estudio primario</t>
  </si>
  <si>
    <t xml:space="preserve">   R2 Población/enfermedad fuera de alcance</t>
  </si>
  <si>
    <t xml:space="preserve">   R3 Datos reales o multimodalidad no verificables en el resumen</t>
  </si>
  <si>
    <t xml:space="preserve">   R4 Diagnóstico/detección o outcome no es evento futuro</t>
  </si>
  <si>
    <t xml:space="preserve">   R5 Multimodalidad no real</t>
  </si>
  <si>
    <t>Elegibilidad</t>
  </si>
  <si>
    <t>Registros evaluados para elegibilidad</t>
  </si>
  <si>
    <t>Evaluados por resumen; texto completo pendiente</t>
  </si>
  <si>
    <t>Excluidos tras evaluación detallada (cumplen criterios, no seleccionados, R6)</t>
  </si>
  <si>
    <t>Reserva: no entran en el corpus de 10</t>
  </si>
  <si>
    <t>Inclusión</t>
  </si>
  <si>
    <t>Estudios incluidos en la síntesis</t>
  </si>
  <si>
    <t>Debe dar 10</t>
  </si>
  <si>
    <t>Control: suma de excluidos + incluidos = cribados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</si>
</sst>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charset val="1"/>
    </font>
    <font>
      <b/>
      <sz val="10"/>
      <color rgb="FFFFFFFF"/>
      <name val="Arial"/>
      <charset val="1"/>
    </font>
    <font>
      <sz val="10"/>
      <name val="Arial"/>
      <charset val="1"/>
    </font>
    <font>
      <sz val="10"/>
      <name val="Noto Sans CJK SC"/>
      <family val="2"/>
    </font>
    <font>
      <b/>
      <sz val="10"/>
      <name val="Arial"/>
      <charset val="1"/>
    </font>
  </fonts>
  <fills count="5">
    <fill>
      <patternFill patternType="none"/>
    </fill>
    <fill>
      <patternFill patternType="gray125"/>
    </fill>
    <fill>
      <patternFill patternType="solid">
        <fgColor rgb="FF1F3864"/>
        <bgColor rgb="FF333333"/>
      </patternFill>
    </fill>
    <fill>
      <patternFill patternType="solid">
        <fgColor rgb="FFFFEB9C"/>
        <bgColor rgb="FFFFFFCC"/>
      </patternFill>
    </fill>
    <fill>
      <patternFill patternType="solid">
        <fgColor rgb="FFC6EFCE"/>
        <bgColor rgb="FFCCFFFF"/>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vertical="top" wrapText="1"/>
    </xf>
    <xf numFmtId="0" fontId="2" fillId="0" borderId="0" xfId="0" applyFont="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4" fillId="0" borderId="0" xfId="0" applyFont="1"/>
    <xf numFmtId="0" fontId="2"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5"/>
  <sheetViews>
    <sheetView tabSelected="1" zoomScaleNormal="100" workbookViewId="0">
      <pane ySplit="1" topLeftCell="A2" activePane="bottomLeft" state="frozen"/>
      <selection pane="bottomLeft"/>
    </sheetView>
  </sheetViews>
  <sheetFormatPr baseColWidth="10" defaultColWidth="8.7109375" defaultRowHeight="15"/>
  <cols>
    <col min="1" max="1" width="6" customWidth="1"/>
    <col min="2" max="2" width="16" customWidth="1"/>
    <col min="3" max="3" width="7" customWidth="1"/>
    <col min="4" max="4" width="16" customWidth="1"/>
    <col min="5" max="5" width="60" customWidth="1"/>
    <col min="6" max="6" width="28" customWidth="1"/>
    <col min="7" max="7" width="30" customWidth="1"/>
    <col min="8" max="8" width="16" customWidth="1"/>
    <col min="9" max="9" width="50" customWidth="1"/>
    <col min="10" max="10" width="8" customWidth="1"/>
    <col min="11" max="11" width="40" customWidth="1"/>
  </cols>
  <sheetData>
    <row r="1" spans="1:11">
      <c r="A1" s="1" t="s">
        <v>0</v>
      </c>
      <c r="B1" s="1" t="s">
        <v>1</v>
      </c>
      <c r="C1" s="1" t="s">
        <v>2</v>
      </c>
      <c r="D1" s="1" t="s">
        <v>3</v>
      </c>
      <c r="E1" s="1" t="s">
        <v>4</v>
      </c>
      <c r="F1" s="1" t="s">
        <v>5</v>
      </c>
      <c r="G1" s="1" t="s">
        <v>6</v>
      </c>
      <c r="H1" s="1" t="s">
        <v>7</v>
      </c>
      <c r="I1" s="1" t="s">
        <v>8</v>
      </c>
      <c r="J1" s="1" t="s">
        <v>9</v>
      </c>
      <c r="K1" s="1" t="s">
        <v>10</v>
      </c>
    </row>
    <row r="2" spans="1:11" ht="51">
      <c r="A2" s="2">
        <v>1</v>
      </c>
      <c r="B2" s="2" t="s">
        <v>11</v>
      </c>
      <c r="C2" s="2">
        <v>2026</v>
      </c>
      <c r="D2" s="2" t="s">
        <v>12</v>
      </c>
      <c r="E2" s="2" t="s">
        <v>13</v>
      </c>
      <c r="F2" s="2" t="s">
        <v>14</v>
      </c>
      <c r="G2" s="2" t="s">
        <v>15</v>
      </c>
      <c r="H2" s="2" t="s">
        <v>16</v>
      </c>
      <c r="I2" s="2" t="s">
        <v>17</v>
      </c>
      <c r="J2" s="2" t="s">
        <v>18</v>
      </c>
      <c r="K2" s="2"/>
    </row>
    <row r="3" spans="1:11" ht="76.5">
      <c r="A3" s="2">
        <v>2</v>
      </c>
      <c r="B3" s="2" t="s">
        <v>19</v>
      </c>
      <c r="C3" s="2">
        <v>2022</v>
      </c>
      <c r="D3" s="2" t="s">
        <v>20</v>
      </c>
      <c r="E3" s="2" t="s">
        <v>21</v>
      </c>
      <c r="F3" s="2" t="s">
        <v>22</v>
      </c>
      <c r="G3" s="2" t="s">
        <v>23</v>
      </c>
      <c r="H3" s="2" t="s">
        <v>16</v>
      </c>
      <c r="I3" s="2" t="s">
        <v>24</v>
      </c>
      <c r="J3" s="2" t="s">
        <v>25</v>
      </c>
      <c r="K3" s="2"/>
    </row>
    <row r="4" spans="1:11" ht="51">
      <c r="A4" s="2">
        <v>3</v>
      </c>
      <c r="B4" s="2" t="s">
        <v>26</v>
      </c>
      <c r="C4" s="2">
        <v>2023</v>
      </c>
      <c r="D4" s="2" t="s">
        <v>20</v>
      </c>
      <c r="E4" s="2" t="s">
        <v>27</v>
      </c>
      <c r="F4" s="2" t="s">
        <v>28</v>
      </c>
      <c r="G4" s="2" t="s">
        <v>29</v>
      </c>
      <c r="H4" s="2" t="s">
        <v>16</v>
      </c>
      <c r="I4" s="2" t="s">
        <v>24</v>
      </c>
      <c r="J4" s="2" t="s">
        <v>25</v>
      </c>
      <c r="K4" s="2"/>
    </row>
    <row r="5" spans="1:11" ht="38.25">
      <c r="A5" s="2">
        <v>4</v>
      </c>
      <c r="B5" s="2" t="s">
        <v>30</v>
      </c>
      <c r="C5" s="2">
        <v>2026</v>
      </c>
      <c r="D5" s="2" t="s">
        <v>12</v>
      </c>
      <c r="E5" s="2" t="s">
        <v>31</v>
      </c>
      <c r="F5" s="2" t="s">
        <v>32</v>
      </c>
      <c r="G5" s="2" t="s">
        <v>33</v>
      </c>
      <c r="H5" s="2" t="s">
        <v>16</v>
      </c>
      <c r="I5" s="2" t="s">
        <v>17</v>
      </c>
      <c r="J5" s="2" t="s">
        <v>18</v>
      </c>
      <c r="K5" s="2"/>
    </row>
    <row r="6" spans="1:11" ht="38.25">
      <c r="A6" s="2">
        <v>5</v>
      </c>
      <c r="B6" s="2" t="s">
        <v>34</v>
      </c>
      <c r="C6" s="2">
        <v>2026</v>
      </c>
      <c r="D6" s="2" t="s">
        <v>35</v>
      </c>
      <c r="E6" s="2" t="s">
        <v>36</v>
      </c>
      <c r="F6" s="2" t="s">
        <v>37</v>
      </c>
      <c r="G6" s="2" t="s">
        <v>38</v>
      </c>
      <c r="H6" s="2" t="s">
        <v>16</v>
      </c>
      <c r="I6" s="2" t="s">
        <v>39</v>
      </c>
      <c r="J6" s="2" t="s">
        <v>40</v>
      </c>
      <c r="K6" s="2"/>
    </row>
    <row r="7" spans="1:11" ht="102">
      <c r="A7" s="3">
        <v>6</v>
      </c>
      <c r="B7" s="3" t="s">
        <v>41</v>
      </c>
      <c r="C7" s="3">
        <v>2026</v>
      </c>
      <c r="D7" s="3" t="s">
        <v>35</v>
      </c>
      <c r="E7" s="3" t="s">
        <v>42</v>
      </c>
      <c r="F7" s="3" t="s">
        <v>43</v>
      </c>
      <c r="G7" s="3" t="s">
        <v>44</v>
      </c>
      <c r="H7" s="3" t="s">
        <v>45</v>
      </c>
      <c r="I7" s="3" t="s">
        <v>46</v>
      </c>
      <c r="J7" s="3" t="s">
        <v>47</v>
      </c>
      <c r="K7" s="3"/>
    </row>
    <row r="8" spans="1:11" ht="38.25">
      <c r="A8" s="2">
        <v>7</v>
      </c>
      <c r="B8" s="2" t="s">
        <v>48</v>
      </c>
      <c r="C8" s="2">
        <v>2026</v>
      </c>
      <c r="D8" s="2" t="s">
        <v>35</v>
      </c>
      <c r="E8" s="2" t="s">
        <v>49</v>
      </c>
      <c r="F8" s="2" t="s">
        <v>50</v>
      </c>
      <c r="G8" s="2" t="s">
        <v>51</v>
      </c>
      <c r="H8" s="2" t="s">
        <v>16</v>
      </c>
      <c r="I8" s="2" t="s">
        <v>17</v>
      </c>
      <c r="J8" s="2" t="s">
        <v>18</v>
      </c>
      <c r="K8" s="2"/>
    </row>
    <row r="9" spans="1:11" ht="38.25">
      <c r="A9" s="2">
        <v>8</v>
      </c>
      <c r="B9" s="2" t="s">
        <v>52</v>
      </c>
      <c r="C9" s="2">
        <v>2025</v>
      </c>
      <c r="D9" s="2" t="s">
        <v>12</v>
      </c>
      <c r="E9" s="2" t="s">
        <v>53</v>
      </c>
      <c r="F9" s="2" t="s">
        <v>32</v>
      </c>
      <c r="G9" s="2" t="s">
        <v>54</v>
      </c>
      <c r="H9" s="2" t="s">
        <v>16</v>
      </c>
      <c r="I9" s="2" t="s">
        <v>17</v>
      </c>
      <c r="J9" s="2" t="s">
        <v>18</v>
      </c>
      <c r="K9" s="2"/>
    </row>
    <row r="10" spans="1:11" ht="63.75">
      <c r="A10" s="2">
        <v>9</v>
      </c>
      <c r="B10" s="2" t="s">
        <v>55</v>
      </c>
      <c r="C10" s="2">
        <v>2026</v>
      </c>
      <c r="D10" s="2" t="s">
        <v>35</v>
      </c>
      <c r="E10" s="2" t="s">
        <v>56</v>
      </c>
      <c r="F10" s="2" t="s">
        <v>22</v>
      </c>
      <c r="G10" s="2" t="s">
        <v>57</v>
      </c>
      <c r="H10" s="2" t="s">
        <v>16</v>
      </c>
      <c r="I10" s="2" t="s">
        <v>24</v>
      </c>
      <c r="J10" s="2" t="s">
        <v>25</v>
      </c>
      <c r="K10" s="2"/>
    </row>
    <row r="11" spans="1:11" ht="38.25">
      <c r="A11" s="2">
        <v>10</v>
      </c>
      <c r="B11" s="2" t="s">
        <v>58</v>
      </c>
      <c r="C11" s="2">
        <v>2020</v>
      </c>
      <c r="D11" s="2" t="s">
        <v>35</v>
      </c>
      <c r="E11" s="2" t="s">
        <v>59</v>
      </c>
      <c r="F11" s="2" t="s">
        <v>60</v>
      </c>
      <c r="G11" s="2" t="s">
        <v>61</v>
      </c>
      <c r="H11" s="2" t="s">
        <v>16</v>
      </c>
      <c r="I11" s="2" t="s">
        <v>24</v>
      </c>
      <c r="J11" s="2" t="s">
        <v>25</v>
      </c>
      <c r="K11" s="2"/>
    </row>
    <row r="12" spans="1:11" ht="102">
      <c r="A12" s="2">
        <v>11</v>
      </c>
      <c r="B12" s="2" t="s">
        <v>62</v>
      </c>
      <c r="C12" s="2">
        <v>2025</v>
      </c>
      <c r="D12" s="2" t="s">
        <v>35</v>
      </c>
      <c r="E12" s="2" t="s">
        <v>63</v>
      </c>
      <c r="F12" s="2" t="s">
        <v>64</v>
      </c>
      <c r="G12" s="2" t="s">
        <v>65</v>
      </c>
      <c r="H12" s="2" t="s">
        <v>16</v>
      </c>
      <c r="I12" s="2" t="s">
        <v>39</v>
      </c>
      <c r="J12" s="2" t="s">
        <v>40</v>
      </c>
      <c r="K12" s="2"/>
    </row>
    <row r="13" spans="1:11" ht="51">
      <c r="A13" s="2">
        <v>12</v>
      </c>
      <c r="B13" s="2" t="s">
        <v>66</v>
      </c>
      <c r="C13" s="2">
        <v>2022</v>
      </c>
      <c r="D13" s="2" t="s">
        <v>12</v>
      </c>
      <c r="E13" s="2" t="s">
        <v>67</v>
      </c>
      <c r="F13" s="2" t="s">
        <v>68</v>
      </c>
      <c r="G13" s="2" t="s">
        <v>69</v>
      </c>
      <c r="H13" s="2" t="s">
        <v>16</v>
      </c>
      <c r="I13" s="2" t="s">
        <v>39</v>
      </c>
      <c r="J13" s="2" t="s">
        <v>40</v>
      </c>
      <c r="K13" s="2"/>
    </row>
    <row r="14" spans="1:11" ht="38.25">
      <c r="A14" s="2">
        <v>13</v>
      </c>
      <c r="B14" s="2" t="s">
        <v>70</v>
      </c>
      <c r="C14" s="2">
        <v>2026</v>
      </c>
      <c r="D14" s="2" t="s">
        <v>35</v>
      </c>
      <c r="E14" s="2" t="s">
        <v>71</v>
      </c>
      <c r="F14" s="2" t="s">
        <v>72</v>
      </c>
      <c r="G14" s="2" t="s">
        <v>73</v>
      </c>
      <c r="H14" s="2" t="s">
        <v>16</v>
      </c>
      <c r="I14" s="2" t="s">
        <v>24</v>
      </c>
      <c r="J14" s="2" t="s">
        <v>25</v>
      </c>
      <c r="K14" s="2"/>
    </row>
    <row r="15" spans="1:11" ht="63.75">
      <c r="A15" s="2">
        <v>14</v>
      </c>
      <c r="B15" s="2" t="s">
        <v>74</v>
      </c>
      <c r="C15" s="2">
        <v>2025</v>
      </c>
      <c r="D15" s="2" t="s">
        <v>12</v>
      </c>
      <c r="E15" s="2" t="s">
        <v>75</v>
      </c>
      <c r="F15" s="2" t="s">
        <v>76</v>
      </c>
      <c r="G15" s="2" t="s">
        <v>77</v>
      </c>
      <c r="H15" s="2" t="s">
        <v>16</v>
      </c>
      <c r="I15" s="2" t="s">
        <v>24</v>
      </c>
      <c r="J15" s="2" t="s">
        <v>25</v>
      </c>
      <c r="K15" s="2"/>
    </row>
    <row r="16" spans="1:11" ht="89.25">
      <c r="A16" s="2">
        <v>15</v>
      </c>
      <c r="B16" s="2" t="s">
        <v>78</v>
      </c>
      <c r="C16" s="2">
        <v>2023</v>
      </c>
      <c r="D16" s="2" t="s">
        <v>35</v>
      </c>
      <c r="E16" s="2" t="s">
        <v>79</v>
      </c>
      <c r="F16" s="2" t="s">
        <v>80</v>
      </c>
      <c r="G16" s="2" t="s">
        <v>81</v>
      </c>
      <c r="H16" s="2" t="s">
        <v>16</v>
      </c>
      <c r="I16" s="2" t="s">
        <v>82</v>
      </c>
      <c r="J16" s="2" t="s">
        <v>83</v>
      </c>
      <c r="K16" s="2"/>
    </row>
    <row r="17" spans="1:11" ht="76.5">
      <c r="A17" s="2">
        <v>16</v>
      </c>
      <c r="B17" s="2" t="s">
        <v>84</v>
      </c>
      <c r="C17" s="2">
        <v>2026</v>
      </c>
      <c r="D17" s="2" t="s">
        <v>35</v>
      </c>
      <c r="E17" s="2" t="s">
        <v>85</v>
      </c>
      <c r="F17" s="2" t="s">
        <v>86</v>
      </c>
      <c r="G17" s="2" t="s">
        <v>87</v>
      </c>
      <c r="H17" s="2" t="s">
        <v>16</v>
      </c>
      <c r="I17" s="2" t="s">
        <v>88</v>
      </c>
      <c r="J17" s="2" t="s">
        <v>89</v>
      </c>
      <c r="K17" s="2"/>
    </row>
    <row r="18" spans="1:11" ht="76.5">
      <c r="A18" s="2">
        <v>17</v>
      </c>
      <c r="B18" s="2" t="s">
        <v>90</v>
      </c>
      <c r="C18" s="2">
        <v>2026</v>
      </c>
      <c r="D18" s="2" t="s">
        <v>35</v>
      </c>
      <c r="E18" s="2" t="s">
        <v>91</v>
      </c>
      <c r="F18" s="2" t="s">
        <v>92</v>
      </c>
      <c r="G18" s="2" t="s">
        <v>93</v>
      </c>
      <c r="H18" s="2" t="s">
        <v>16</v>
      </c>
      <c r="I18" s="2" t="s">
        <v>88</v>
      </c>
      <c r="J18" s="2" t="s">
        <v>89</v>
      </c>
      <c r="K18" s="2"/>
    </row>
    <row r="19" spans="1:11" ht="38.25">
      <c r="A19" s="2">
        <v>18</v>
      </c>
      <c r="B19" s="2" t="s">
        <v>94</v>
      </c>
      <c r="C19" s="2">
        <v>2025</v>
      </c>
      <c r="D19" s="2" t="s">
        <v>35</v>
      </c>
      <c r="E19" s="2" t="s">
        <v>95</v>
      </c>
      <c r="F19" s="2" t="s">
        <v>96</v>
      </c>
      <c r="G19" s="2" t="s">
        <v>97</v>
      </c>
      <c r="H19" s="2" t="s">
        <v>16</v>
      </c>
      <c r="I19" s="2" t="s">
        <v>24</v>
      </c>
      <c r="J19" s="2" t="s">
        <v>25</v>
      </c>
      <c r="K19" s="2"/>
    </row>
    <row r="20" spans="1:11" ht="38.25">
      <c r="A20" s="2">
        <v>19</v>
      </c>
      <c r="B20" s="2" t="s">
        <v>98</v>
      </c>
      <c r="C20" s="2">
        <v>2026</v>
      </c>
      <c r="D20" s="2" t="s">
        <v>35</v>
      </c>
      <c r="E20" s="2" t="s">
        <v>99</v>
      </c>
      <c r="F20" s="2" t="s">
        <v>100</v>
      </c>
      <c r="G20" s="2" t="s">
        <v>101</v>
      </c>
      <c r="H20" s="2" t="s">
        <v>16</v>
      </c>
      <c r="I20" s="2" t="s">
        <v>24</v>
      </c>
      <c r="J20" s="2" t="s">
        <v>25</v>
      </c>
      <c r="K20" s="2"/>
    </row>
    <row r="21" spans="1:11" ht="63.75">
      <c r="A21" s="3">
        <v>20</v>
      </c>
      <c r="B21" s="3" t="s">
        <v>102</v>
      </c>
      <c r="C21" s="3">
        <v>2025</v>
      </c>
      <c r="D21" s="3" t="s">
        <v>35</v>
      </c>
      <c r="E21" s="3" t="s">
        <v>103</v>
      </c>
      <c r="F21" s="3" t="s">
        <v>104</v>
      </c>
      <c r="G21" s="3" t="s">
        <v>105</v>
      </c>
      <c r="H21" s="3" t="s">
        <v>45</v>
      </c>
      <c r="I21" s="3" t="s">
        <v>46</v>
      </c>
      <c r="J21" s="3" t="s">
        <v>47</v>
      </c>
      <c r="K21" s="3"/>
    </row>
    <row r="22" spans="1:11" ht="89.25">
      <c r="A22" s="2">
        <v>21</v>
      </c>
      <c r="B22" s="2" t="s">
        <v>106</v>
      </c>
      <c r="C22" s="2">
        <v>2026</v>
      </c>
      <c r="D22" s="2" t="s">
        <v>35</v>
      </c>
      <c r="E22" s="2" t="s">
        <v>107</v>
      </c>
      <c r="F22" s="2" t="s">
        <v>108</v>
      </c>
      <c r="G22" s="2" t="s">
        <v>109</v>
      </c>
      <c r="H22" s="2" t="s">
        <v>16</v>
      </c>
      <c r="I22" s="2" t="s">
        <v>24</v>
      </c>
      <c r="J22" s="2" t="s">
        <v>25</v>
      </c>
      <c r="K22" s="2"/>
    </row>
    <row r="23" spans="1:11" ht="25.5">
      <c r="A23" s="2">
        <v>22</v>
      </c>
      <c r="B23" s="2" t="s">
        <v>110</v>
      </c>
      <c r="C23" s="2">
        <v>2025</v>
      </c>
      <c r="D23" s="2" t="s">
        <v>35</v>
      </c>
      <c r="E23" s="2" t="s">
        <v>111</v>
      </c>
      <c r="F23" s="2" t="s">
        <v>112</v>
      </c>
      <c r="G23" s="2" t="s">
        <v>113</v>
      </c>
      <c r="H23" s="2" t="s">
        <v>16</v>
      </c>
      <c r="I23" s="2" t="s">
        <v>88</v>
      </c>
      <c r="J23" s="2" t="s">
        <v>89</v>
      </c>
      <c r="K23" s="2"/>
    </row>
    <row r="24" spans="1:11" ht="38.25">
      <c r="A24" s="2">
        <v>23</v>
      </c>
      <c r="B24" s="2" t="s">
        <v>114</v>
      </c>
      <c r="C24" s="2">
        <v>2026</v>
      </c>
      <c r="D24" s="2" t="s">
        <v>115</v>
      </c>
      <c r="E24" s="2" t="s">
        <v>116</v>
      </c>
      <c r="F24" s="2" t="s">
        <v>117</v>
      </c>
      <c r="G24" s="2"/>
      <c r="H24" s="2" t="s">
        <v>16</v>
      </c>
      <c r="I24" s="2" t="s">
        <v>24</v>
      </c>
      <c r="J24" s="2" t="s">
        <v>25</v>
      </c>
      <c r="K24" s="2"/>
    </row>
    <row r="25" spans="1:11" ht="63.75">
      <c r="A25" s="2">
        <v>24</v>
      </c>
      <c r="B25" s="2" t="s">
        <v>114</v>
      </c>
      <c r="C25" s="2">
        <v>2020</v>
      </c>
      <c r="D25" s="2" t="s">
        <v>115</v>
      </c>
      <c r="E25" s="2" t="s">
        <v>118</v>
      </c>
      <c r="F25" s="2" t="s">
        <v>119</v>
      </c>
      <c r="G25" s="2"/>
      <c r="H25" s="2" t="s">
        <v>16</v>
      </c>
      <c r="I25" s="2" t="s">
        <v>24</v>
      </c>
      <c r="J25" s="2" t="s">
        <v>25</v>
      </c>
      <c r="K25" s="2"/>
    </row>
    <row r="26" spans="1:11" ht="51">
      <c r="A26" s="2">
        <v>25</v>
      </c>
      <c r="B26" s="2" t="s">
        <v>120</v>
      </c>
      <c r="C26" s="2">
        <v>2026</v>
      </c>
      <c r="D26" s="2" t="s">
        <v>12</v>
      </c>
      <c r="E26" s="2" t="s">
        <v>121</v>
      </c>
      <c r="F26" s="2" t="s">
        <v>122</v>
      </c>
      <c r="G26" s="2" t="s">
        <v>123</v>
      </c>
      <c r="H26" s="2" t="s">
        <v>16</v>
      </c>
      <c r="I26" s="2" t="s">
        <v>17</v>
      </c>
      <c r="J26" s="2" t="s">
        <v>18</v>
      </c>
      <c r="K26" s="2"/>
    </row>
    <row r="27" spans="1:11" ht="38.25">
      <c r="A27" s="2">
        <v>26</v>
      </c>
      <c r="B27" s="2" t="s">
        <v>124</v>
      </c>
      <c r="C27" s="2">
        <v>2026</v>
      </c>
      <c r="D27" s="2" t="s">
        <v>35</v>
      </c>
      <c r="E27" s="2" t="s">
        <v>125</v>
      </c>
      <c r="F27" s="2" t="s">
        <v>126</v>
      </c>
      <c r="G27" s="2" t="s">
        <v>127</v>
      </c>
      <c r="H27" s="2" t="s">
        <v>16</v>
      </c>
      <c r="I27" s="2" t="s">
        <v>88</v>
      </c>
      <c r="J27" s="2" t="s">
        <v>89</v>
      </c>
      <c r="K27" s="2"/>
    </row>
    <row r="28" spans="1:11" ht="38.25">
      <c r="A28" s="2">
        <v>27</v>
      </c>
      <c r="B28" s="2" t="s">
        <v>34</v>
      </c>
      <c r="C28" s="2">
        <v>2026</v>
      </c>
      <c r="D28" s="2" t="s">
        <v>20</v>
      </c>
      <c r="E28" s="2" t="s">
        <v>128</v>
      </c>
      <c r="F28" s="2" t="s">
        <v>37</v>
      </c>
      <c r="G28" s="2" t="s">
        <v>129</v>
      </c>
      <c r="H28" s="2" t="s">
        <v>16</v>
      </c>
      <c r="I28" s="2" t="s">
        <v>24</v>
      </c>
      <c r="J28" s="2" t="s">
        <v>25</v>
      </c>
      <c r="K28" s="2"/>
    </row>
    <row r="29" spans="1:11" ht="76.5">
      <c r="A29" s="2">
        <v>28</v>
      </c>
      <c r="B29" s="2" t="s">
        <v>130</v>
      </c>
      <c r="C29" s="2">
        <v>2026</v>
      </c>
      <c r="D29" s="2" t="s">
        <v>12</v>
      </c>
      <c r="E29" s="2" t="s">
        <v>131</v>
      </c>
      <c r="F29" s="2" t="s">
        <v>132</v>
      </c>
      <c r="G29" s="2" t="s">
        <v>133</v>
      </c>
      <c r="H29" s="2" t="s">
        <v>16</v>
      </c>
      <c r="I29" s="2" t="s">
        <v>88</v>
      </c>
      <c r="J29" s="2" t="s">
        <v>89</v>
      </c>
      <c r="K29" s="2"/>
    </row>
    <row r="30" spans="1:11" ht="51">
      <c r="A30" s="2">
        <v>29</v>
      </c>
      <c r="B30" s="2" t="s">
        <v>134</v>
      </c>
      <c r="C30" s="2">
        <v>2025</v>
      </c>
      <c r="D30" s="2" t="s">
        <v>12</v>
      </c>
      <c r="E30" s="2" t="s">
        <v>135</v>
      </c>
      <c r="F30" s="2" t="s">
        <v>136</v>
      </c>
      <c r="G30" s="2" t="s">
        <v>137</v>
      </c>
      <c r="H30" s="2" t="s">
        <v>16</v>
      </c>
      <c r="I30" s="2" t="s">
        <v>17</v>
      </c>
      <c r="J30" s="2" t="s">
        <v>18</v>
      </c>
      <c r="K30" s="2"/>
    </row>
    <row r="31" spans="1:11" ht="38.25">
      <c r="A31" s="2">
        <v>30</v>
      </c>
      <c r="B31" s="2" t="s">
        <v>138</v>
      </c>
      <c r="C31" s="2">
        <v>2025</v>
      </c>
      <c r="D31" s="2" t="s">
        <v>12</v>
      </c>
      <c r="E31" s="2" t="s">
        <v>139</v>
      </c>
      <c r="F31" s="2" t="s">
        <v>140</v>
      </c>
      <c r="G31" s="2" t="s">
        <v>141</v>
      </c>
      <c r="H31" s="2" t="s">
        <v>16</v>
      </c>
      <c r="I31" s="2" t="s">
        <v>17</v>
      </c>
      <c r="J31" s="2" t="s">
        <v>18</v>
      </c>
      <c r="K31" s="2"/>
    </row>
    <row r="32" spans="1:11" ht="38.25">
      <c r="A32" s="2">
        <v>31</v>
      </c>
      <c r="B32" s="2" t="s">
        <v>142</v>
      </c>
      <c r="C32" s="2">
        <v>2024</v>
      </c>
      <c r="D32" s="2" t="s">
        <v>35</v>
      </c>
      <c r="E32" s="2" t="s">
        <v>143</v>
      </c>
      <c r="F32" s="2" t="s">
        <v>144</v>
      </c>
      <c r="G32" s="2" t="s">
        <v>145</v>
      </c>
      <c r="H32" s="2" t="s">
        <v>16</v>
      </c>
      <c r="I32" s="2" t="s">
        <v>17</v>
      </c>
      <c r="J32" s="2" t="s">
        <v>18</v>
      </c>
      <c r="K32" s="2"/>
    </row>
    <row r="33" spans="1:11" ht="38.25">
      <c r="A33" s="2">
        <v>32</v>
      </c>
      <c r="B33" s="2" t="s">
        <v>146</v>
      </c>
      <c r="C33" s="2">
        <v>2026</v>
      </c>
      <c r="D33" s="2" t="s">
        <v>35</v>
      </c>
      <c r="E33" s="2" t="s">
        <v>147</v>
      </c>
      <c r="F33" s="2" t="s">
        <v>148</v>
      </c>
      <c r="G33" s="2" t="s">
        <v>149</v>
      </c>
      <c r="H33" s="2" t="s">
        <v>16</v>
      </c>
      <c r="I33" s="2" t="s">
        <v>17</v>
      </c>
      <c r="J33" s="2" t="s">
        <v>18</v>
      </c>
      <c r="K33" s="2"/>
    </row>
    <row r="34" spans="1:11" ht="51">
      <c r="A34" s="2">
        <v>33</v>
      </c>
      <c r="B34" s="2" t="s">
        <v>150</v>
      </c>
      <c r="C34" s="2">
        <v>2026</v>
      </c>
      <c r="D34" s="2" t="s">
        <v>12</v>
      </c>
      <c r="E34" s="2" t="s">
        <v>151</v>
      </c>
      <c r="F34" s="2" t="s">
        <v>14</v>
      </c>
      <c r="G34" s="2" t="s">
        <v>152</v>
      </c>
      <c r="H34" s="2" t="s">
        <v>16</v>
      </c>
      <c r="I34" s="2" t="s">
        <v>17</v>
      </c>
      <c r="J34" s="2" t="s">
        <v>18</v>
      </c>
      <c r="K34" s="2"/>
    </row>
    <row r="35" spans="1:11" ht="140.25">
      <c r="A35" s="2">
        <v>34</v>
      </c>
      <c r="B35" s="2" t="s">
        <v>153</v>
      </c>
      <c r="C35" s="2">
        <v>2026</v>
      </c>
      <c r="D35" s="2" t="s">
        <v>20</v>
      </c>
      <c r="E35" s="2" t="s">
        <v>154</v>
      </c>
      <c r="F35" s="2" t="s">
        <v>155</v>
      </c>
      <c r="G35" s="2" t="s">
        <v>156</v>
      </c>
      <c r="H35" s="2" t="s">
        <v>16</v>
      </c>
      <c r="I35" s="2" t="s">
        <v>24</v>
      </c>
      <c r="J35" s="2" t="s">
        <v>25</v>
      </c>
      <c r="K35" s="2"/>
    </row>
    <row r="36" spans="1:11" ht="38.25">
      <c r="A36" s="2">
        <v>35</v>
      </c>
      <c r="B36" s="2" t="s">
        <v>157</v>
      </c>
      <c r="C36" s="2">
        <v>2026</v>
      </c>
      <c r="D36" s="2" t="s">
        <v>20</v>
      </c>
      <c r="E36" s="2" t="s">
        <v>158</v>
      </c>
      <c r="F36" s="2" t="s">
        <v>159</v>
      </c>
      <c r="G36" s="2" t="s">
        <v>160</v>
      </c>
      <c r="H36" s="2" t="s">
        <v>16</v>
      </c>
      <c r="I36" s="2" t="s">
        <v>24</v>
      </c>
      <c r="J36" s="2" t="s">
        <v>25</v>
      </c>
      <c r="K36" s="2"/>
    </row>
    <row r="37" spans="1:11" ht="89.25">
      <c r="A37" s="2">
        <v>36</v>
      </c>
      <c r="B37" s="2" t="s">
        <v>161</v>
      </c>
      <c r="C37" s="2">
        <v>2025</v>
      </c>
      <c r="D37" s="2" t="s">
        <v>12</v>
      </c>
      <c r="E37" s="2" t="s">
        <v>162</v>
      </c>
      <c r="F37" s="2" t="s">
        <v>163</v>
      </c>
      <c r="G37" s="2" t="s">
        <v>164</v>
      </c>
      <c r="H37" s="2" t="s">
        <v>16</v>
      </c>
      <c r="I37" s="2" t="s">
        <v>17</v>
      </c>
      <c r="J37" s="2" t="s">
        <v>18</v>
      </c>
      <c r="K37" s="2"/>
    </row>
    <row r="38" spans="1:11" ht="63.75">
      <c r="A38" s="2">
        <v>37</v>
      </c>
      <c r="B38" s="2" t="s">
        <v>165</v>
      </c>
      <c r="C38" s="2">
        <v>2026</v>
      </c>
      <c r="D38" s="2" t="s">
        <v>12</v>
      </c>
      <c r="E38" s="2" t="s">
        <v>166</v>
      </c>
      <c r="F38" s="2" t="s">
        <v>167</v>
      </c>
      <c r="G38" s="2" t="s">
        <v>168</v>
      </c>
      <c r="H38" s="2" t="s">
        <v>16</v>
      </c>
      <c r="I38" s="2" t="s">
        <v>17</v>
      </c>
      <c r="J38" s="2" t="s">
        <v>18</v>
      </c>
      <c r="K38" s="2"/>
    </row>
    <row r="39" spans="1:11" ht="51">
      <c r="A39" s="2">
        <v>38</v>
      </c>
      <c r="B39" s="2" t="s">
        <v>169</v>
      </c>
      <c r="C39" s="2">
        <v>2024</v>
      </c>
      <c r="D39" s="2" t="s">
        <v>35</v>
      </c>
      <c r="E39" s="2" t="s">
        <v>170</v>
      </c>
      <c r="F39" s="2" t="s">
        <v>80</v>
      </c>
      <c r="G39" s="2" t="s">
        <v>171</v>
      </c>
      <c r="H39" s="2" t="s">
        <v>16</v>
      </c>
      <c r="I39" s="2" t="s">
        <v>39</v>
      </c>
      <c r="J39" s="2" t="s">
        <v>40</v>
      </c>
      <c r="K39" s="2"/>
    </row>
    <row r="40" spans="1:11" ht="63.75">
      <c r="A40" s="2">
        <v>39</v>
      </c>
      <c r="B40" s="2" t="s">
        <v>172</v>
      </c>
      <c r="C40" s="2">
        <v>2026</v>
      </c>
      <c r="D40" s="2" t="s">
        <v>12</v>
      </c>
      <c r="E40" s="2" t="s">
        <v>173</v>
      </c>
      <c r="F40" s="2" t="s">
        <v>174</v>
      </c>
      <c r="G40" s="2" t="s">
        <v>175</v>
      </c>
      <c r="H40" s="2" t="s">
        <v>16</v>
      </c>
      <c r="I40" s="2" t="s">
        <v>17</v>
      </c>
      <c r="J40" s="2" t="s">
        <v>18</v>
      </c>
      <c r="K40" s="2"/>
    </row>
    <row r="41" spans="1:11" ht="38.25">
      <c r="A41" s="3">
        <v>40</v>
      </c>
      <c r="B41" s="3" t="s">
        <v>176</v>
      </c>
      <c r="C41" s="3">
        <v>2024</v>
      </c>
      <c r="D41" s="3" t="s">
        <v>35</v>
      </c>
      <c r="E41" s="3" t="s">
        <v>177</v>
      </c>
      <c r="F41" s="3" t="s">
        <v>178</v>
      </c>
      <c r="G41" s="3" t="s">
        <v>179</v>
      </c>
      <c r="H41" s="3" t="s">
        <v>45</v>
      </c>
      <c r="I41" s="3" t="s">
        <v>46</v>
      </c>
      <c r="J41" s="3" t="s">
        <v>47</v>
      </c>
      <c r="K41" s="3"/>
    </row>
    <row r="42" spans="1:11" ht="38.25">
      <c r="A42" s="2">
        <v>41</v>
      </c>
      <c r="B42" s="2" t="s">
        <v>180</v>
      </c>
      <c r="C42" s="2">
        <v>2026</v>
      </c>
      <c r="D42" s="2" t="s">
        <v>35</v>
      </c>
      <c r="E42" s="2" t="s">
        <v>181</v>
      </c>
      <c r="F42" s="2" t="s">
        <v>182</v>
      </c>
      <c r="G42" s="2" t="s">
        <v>183</v>
      </c>
      <c r="H42" s="2" t="s">
        <v>16</v>
      </c>
      <c r="I42" s="2" t="s">
        <v>17</v>
      </c>
      <c r="J42" s="2" t="s">
        <v>18</v>
      </c>
      <c r="K42" s="2"/>
    </row>
    <row r="43" spans="1:11" ht="51">
      <c r="A43" s="2">
        <v>42</v>
      </c>
      <c r="B43" s="2" t="s">
        <v>184</v>
      </c>
      <c r="C43" s="2">
        <v>2026</v>
      </c>
      <c r="D43" s="2" t="s">
        <v>35</v>
      </c>
      <c r="E43" s="2" t="s">
        <v>185</v>
      </c>
      <c r="F43" s="2" t="s">
        <v>186</v>
      </c>
      <c r="G43" s="2" t="s">
        <v>187</v>
      </c>
      <c r="H43" s="2" t="s">
        <v>16</v>
      </c>
      <c r="I43" s="2" t="s">
        <v>88</v>
      </c>
      <c r="J43" s="2" t="s">
        <v>89</v>
      </c>
      <c r="K43" s="2"/>
    </row>
    <row r="44" spans="1:11" ht="38.25">
      <c r="A44" s="2">
        <v>43</v>
      </c>
      <c r="B44" s="2" t="s">
        <v>188</v>
      </c>
      <c r="C44" s="2">
        <v>2025</v>
      </c>
      <c r="D44" s="2" t="s">
        <v>12</v>
      </c>
      <c r="E44" s="2" t="s">
        <v>189</v>
      </c>
      <c r="F44" s="2" t="s">
        <v>119</v>
      </c>
      <c r="G44" s="2" t="s">
        <v>190</v>
      </c>
      <c r="H44" s="2" t="s">
        <v>16</v>
      </c>
      <c r="I44" s="2" t="s">
        <v>88</v>
      </c>
      <c r="J44" s="2" t="s">
        <v>89</v>
      </c>
      <c r="K44" s="2"/>
    </row>
    <row r="45" spans="1:11" ht="25.5">
      <c r="A45" s="2">
        <v>44</v>
      </c>
      <c r="B45" s="2" t="s">
        <v>191</v>
      </c>
      <c r="C45" s="2">
        <v>2025</v>
      </c>
      <c r="D45" s="2" t="s">
        <v>35</v>
      </c>
      <c r="E45" s="2" t="s">
        <v>192</v>
      </c>
      <c r="F45" s="2" t="s">
        <v>193</v>
      </c>
      <c r="G45" s="2" t="s">
        <v>194</v>
      </c>
      <c r="H45" s="2" t="s">
        <v>16</v>
      </c>
      <c r="I45" s="2" t="s">
        <v>39</v>
      </c>
      <c r="J45" s="2" t="s">
        <v>40</v>
      </c>
      <c r="K45" s="2"/>
    </row>
    <row r="46" spans="1:11" ht="76.5">
      <c r="A46" s="2">
        <v>45</v>
      </c>
      <c r="B46" s="2" t="s">
        <v>195</v>
      </c>
      <c r="C46" s="2">
        <v>2025</v>
      </c>
      <c r="D46" s="2" t="s">
        <v>20</v>
      </c>
      <c r="E46" s="2" t="s">
        <v>196</v>
      </c>
      <c r="F46" s="2" t="s">
        <v>197</v>
      </c>
      <c r="G46" s="2" t="s">
        <v>198</v>
      </c>
      <c r="H46" s="2" t="s">
        <v>16</v>
      </c>
      <c r="I46" s="2" t="s">
        <v>24</v>
      </c>
      <c r="J46" s="2" t="s">
        <v>25</v>
      </c>
      <c r="K46" s="2"/>
    </row>
    <row r="47" spans="1:11" ht="89.25">
      <c r="A47" s="3">
        <v>46</v>
      </c>
      <c r="B47" s="3" t="s">
        <v>199</v>
      </c>
      <c r="C47" s="3">
        <v>2025</v>
      </c>
      <c r="D47" s="3" t="s">
        <v>35</v>
      </c>
      <c r="E47" s="3" t="s">
        <v>200</v>
      </c>
      <c r="F47" s="3" t="s">
        <v>144</v>
      </c>
      <c r="G47" s="3" t="s">
        <v>201</v>
      </c>
      <c r="H47" s="3" t="s">
        <v>45</v>
      </c>
      <c r="I47" s="3" t="s">
        <v>46</v>
      </c>
      <c r="J47" s="3" t="s">
        <v>47</v>
      </c>
      <c r="K47" s="3"/>
    </row>
    <row r="48" spans="1:11" ht="38.25">
      <c r="A48" s="2">
        <v>47</v>
      </c>
      <c r="B48" s="2" t="s">
        <v>202</v>
      </c>
      <c r="C48" s="2">
        <v>2026</v>
      </c>
      <c r="D48" s="2" t="s">
        <v>35</v>
      </c>
      <c r="E48" s="2" t="s">
        <v>203</v>
      </c>
      <c r="F48" s="2" t="s">
        <v>204</v>
      </c>
      <c r="G48" s="2" t="s">
        <v>205</v>
      </c>
      <c r="H48" s="2" t="s">
        <v>16</v>
      </c>
      <c r="I48" s="2" t="s">
        <v>24</v>
      </c>
      <c r="J48" s="2" t="s">
        <v>25</v>
      </c>
      <c r="K48" s="2"/>
    </row>
    <row r="49" spans="1:11" ht="76.5">
      <c r="A49" s="2">
        <v>48</v>
      </c>
      <c r="B49" s="2" t="s">
        <v>206</v>
      </c>
      <c r="C49" s="2">
        <v>2026</v>
      </c>
      <c r="D49" s="2" t="s">
        <v>35</v>
      </c>
      <c r="E49" s="2" t="s">
        <v>207</v>
      </c>
      <c r="F49" s="2" t="s">
        <v>208</v>
      </c>
      <c r="G49" s="2" t="s">
        <v>209</v>
      </c>
      <c r="H49" s="2" t="s">
        <v>16</v>
      </c>
      <c r="I49" s="2" t="s">
        <v>39</v>
      </c>
      <c r="J49" s="2" t="s">
        <v>40</v>
      </c>
      <c r="K49" s="2"/>
    </row>
    <row r="50" spans="1:11" ht="38.25">
      <c r="A50" s="2">
        <v>49</v>
      </c>
      <c r="B50" s="2" t="s">
        <v>210</v>
      </c>
      <c r="C50" s="2">
        <v>2024</v>
      </c>
      <c r="D50" s="2" t="s">
        <v>35</v>
      </c>
      <c r="E50" s="2" t="s">
        <v>211</v>
      </c>
      <c r="F50" s="2" t="s">
        <v>212</v>
      </c>
      <c r="G50" s="2" t="s">
        <v>213</v>
      </c>
      <c r="H50" s="2" t="s">
        <v>16</v>
      </c>
      <c r="I50" s="2" t="s">
        <v>82</v>
      </c>
      <c r="J50" s="2" t="s">
        <v>83</v>
      </c>
      <c r="K50" s="2"/>
    </row>
    <row r="51" spans="1:11" ht="76.5">
      <c r="A51" s="2">
        <v>50</v>
      </c>
      <c r="B51" s="2" t="s">
        <v>214</v>
      </c>
      <c r="C51" s="2">
        <v>2026</v>
      </c>
      <c r="D51" s="2" t="s">
        <v>12</v>
      </c>
      <c r="E51" s="2" t="s">
        <v>215</v>
      </c>
      <c r="F51" s="2" t="s">
        <v>216</v>
      </c>
      <c r="G51" s="2" t="s">
        <v>217</v>
      </c>
      <c r="H51" s="2" t="s">
        <v>16</v>
      </c>
      <c r="I51" s="2" t="s">
        <v>17</v>
      </c>
      <c r="J51" s="2" t="s">
        <v>18</v>
      </c>
      <c r="K51" s="2"/>
    </row>
    <row r="52" spans="1:11" ht="38.25">
      <c r="A52" s="2">
        <v>51</v>
      </c>
      <c r="B52" s="2" t="s">
        <v>218</v>
      </c>
      <c r="C52" s="2">
        <v>2025</v>
      </c>
      <c r="D52" s="2" t="s">
        <v>12</v>
      </c>
      <c r="E52" s="2" t="s">
        <v>219</v>
      </c>
      <c r="F52" s="2" t="s">
        <v>220</v>
      </c>
      <c r="G52" s="2" t="s">
        <v>221</v>
      </c>
      <c r="H52" s="2" t="s">
        <v>16</v>
      </c>
      <c r="I52" s="2" t="s">
        <v>24</v>
      </c>
      <c r="J52" s="2" t="s">
        <v>25</v>
      </c>
      <c r="K52" s="2"/>
    </row>
    <row r="53" spans="1:11" ht="63.75">
      <c r="A53" s="3">
        <v>52</v>
      </c>
      <c r="B53" s="3" t="s">
        <v>222</v>
      </c>
      <c r="C53" s="3">
        <v>2025</v>
      </c>
      <c r="D53" s="3" t="s">
        <v>12</v>
      </c>
      <c r="E53" s="3" t="s">
        <v>223</v>
      </c>
      <c r="F53" s="3" t="s">
        <v>224</v>
      </c>
      <c r="G53" s="3" t="s">
        <v>225</v>
      </c>
      <c r="H53" s="3" t="s">
        <v>45</v>
      </c>
      <c r="I53" s="3" t="s">
        <v>46</v>
      </c>
      <c r="J53" s="3" t="s">
        <v>47</v>
      </c>
      <c r="K53" s="3"/>
    </row>
    <row r="54" spans="1:11" ht="89.25">
      <c r="A54" s="2">
        <v>53</v>
      </c>
      <c r="B54" s="2" t="s">
        <v>226</v>
      </c>
      <c r="C54" s="2">
        <v>2026</v>
      </c>
      <c r="D54" s="2" t="s">
        <v>35</v>
      </c>
      <c r="E54" s="2" t="s">
        <v>227</v>
      </c>
      <c r="F54" s="2" t="s">
        <v>228</v>
      </c>
      <c r="G54" s="2" t="s">
        <v>229</v>
      </c>
      <c r="H54" s="2" t="s">
        <v>16</v>
      </c>
      <c r="I54" s="2" t="s">
        <v>39</v>
      </c>
      <c r="J54" s="2" t="s">
        <v>40</v>
      </c>
      <c r="K54" s="2"/>
    </row>
    <row r="55" spans="1:11" ht="89.25">
      <c r="A55" s="2">
        <v>54</v>
      </c>
      <c r="B55" s="2" t="s">
        <v>230</v>
      </c>
      <c r="C55" s="2">
        <v>2026</v>
      </c>
      <c r="D55" s="2" t="s">
        <v>231</v>
      </c>
      <c r="E55" s="2" t="s">
        <v>232</v>
      </c>
      <c r="F55" s="2" t="s">
        <v>233</v>
      </c>
      <c r="G55" s="2" t="s">
        <v>234</v>
      </c>
      <c r="H55" s="2" t="s">
        <v>16</v>
      </c>
      <c r="I55" s="2" t="s">
        <v>24</v>
      </c>
      <c r="J55" s="2" t="s">
        <v>25</v>
      </c>
      <c r="K55" s="2"/>
    </row>
    <row r="56" spans="1:11" ht="38.25">
      <c r="A56" s="2">
        <v>55</v>
      </c>
      <c r="B56" s="2" t="s">
        <v>235</v>
      </c>
      <c r="C56" s="2">
        <v>2024</v>
      </c>
      <c r="D56" s="2" t="s">
        <v>231</v>
      </c>
      <c r="E56" s="2" t="s">
        <v>236</v>
      </c>
      <c r="F56" s="2" t="s">
        <v>237</v>
      </c>
      <c r="G56" s="2" t="s">
        <v>238</v>
      </c>
      <c r="H56" s="2" t="s">
        <v>16</v>
      </c>
      <c r="I56" s="2" t="s">
        <v>24</v>
      </c>
      <c r="J56" s="2" t="s">
        <v>25</v>
      </c>
      <c r="K56" s="2"/>
    </row>
    <row r="57" spans="1:11" ht="51">
      <c r="A57" s="2">
        <v>56</v>
      </c>
      <c r="B57" s="2" t="s">
        <v>239</v>
      </c>
      <c r="C57" s="2">
        <v>2026</v>
      </c>
      <c r="D57" s="2" t="s">
        <v>35</v>
      </c>
      <c r="E57" s="2" t="s">
        <v>240</v>
      </c>
      <c r="F57" s="2" t="s">
        <v>241</v>
      </c>
      <c r="G57" s="2" t="s">
        <v>242</v>
      </c>
      <c r="H57" s="2" t="s">
        <v>16</v>
      </c>
      <c r="I57" s="2" t="s">
        <v>24</v>
      </c>
      <c r="J57" s="2" t="s">
        <v>25</v>
      </c>
      <c r="K57" s="2"/>
    </row>
    <row r="58" spans="1:11" ht="38.25">
      <c r="A58" s="2">
        <v>57</v>
      </c>
      <c r="B58" s="2" t="s">
        <v>243</v>
      </c>
      <c r="C58" s="2">
        <v>2026</v>
      </c>
      <c r="D58" s="2" t="s">
        <v>20</v>
      </c>
      <c r="E58" s="2" t="s">
        <v>244</v>
      </c>
      <c r="F58" s="2" t="s">
        <v>245</v>
      </c>
      <c r="G58" s="2" t="s">
        <v>246</v>
      </c>
      <c r="H58" s="2" t="s">
        <v>16</v>
      </c>
      <c r="I58" s="2" t="s">
        <v>24</v>
      </c>
      <c r="J58" s="2" t="s">
        <v>25</v>
      </c>
      <c r="K58" s="2"/>
    </row>
    <row r="59" spans="1:11" ht="38.25">
      <c r="A59" s="2">
        <v>58</v>
      </c>
      <c r="B59" s="2" t="s">
        <v>247</v>
      </c>
      <c r="C59" s="2">
        <v>2026</v>
      </c>
      <c r="D59" s="2" t="s">
        <v>20</v>
      </c>
      <c r="E59" s="2" t="s">
        <v>248</v>
      </c>
      <c r="F59" s="2" t="s">
        <v>249</v>
      </c>
      <c r="G59" s="2" t="s">
        <v>250</v>
      </c>
      <c r="H59" s="2" t="s">
        <v>16</v>
      </c>
      <c r="I59" s="2" t="s">
        <v>24</v>
      </c>
      <c r="J59" s="2" t="s">
        <v>25</v>
      </c>
      <c r="K59" s="2"/>
    </row>
    <row r="60" spans="1:11" ht="140.25">
      <c r="A60" s="4">
        <v>59</v>
      </c>
      <c r="B60" s="4" t="s">
        <v>251</v>
      </c>
      <c r="C60" s="4">
        <v>2024</v>
      </c>
      <c r="D60" s="4" t="s">
        <v>35</v>
      </c>
      <c r="E60" s="4" t="s">
        <v>252</v>
      </c>
      <c r="F60" s="4" t="s">
        <v>253</v>
      </c>
      <c r="G60" s="4" t="s">
        <v>254</v>
      </c>
      <c r="H60" s="4" t="s">
        <v>255</v>
      </c>
      <c r="I60" s="4" t="s">
        <v>256</v>
      </c>
      <c r="J60" s="4" t="s">
        <v>257</v>
      </c>
      <c r="K60" s="4" t="s">
        <v>258</v>
      </c>
    </row>
    <row r="61" spans="1:11" ht="51">
      <c r="A61" s="2">
        <v>60</v>
      </c>
      <c r="B61" s="2" t="s">
        <v>259</v>
      </c>
      <c r="C61" s="2">
        <v>2026</v>
      </c>
      <c r="D61" s="2" t="s">
        <v>20</v>
      </c>
      <c r="E61" s="2" t="s">
        <v>260</v>
      </c>
      <c r="F61" s="2" t="s">
        <v>261</v>
      </c>
      <c r="G61" s="2" t="s">
        <v>262</v>
      </c>
      <c r="H61" s="2" t="s">
        <v>16</v>
      </c>
      <c r="I61" s="2" t="s">
        <v>24</v>
      </c>
      <c r="J61" s="2" t="s">
        <v>25</v>
      </c>
      <c r="K61" s="2"/>
    </row>
    <row r="62" spans="1:11" ht="38.25">
      <c r="A62" s="2">
        <v>61</v>
      </c>
      <c r="B62" s="2" t="s">
        <v>263</v>
      </c>
      <c r="C62" s="2">
        <v>2026</v>
      </c>
      <c r="D62" s="2" t="s">
        <v>20</v>
      </c>
      <c r="E62" s="2" t="s">
        <v>264</v>
      </c>
      <c r="F62" s="2" t="s">
        <v>265</v>
      </c>
      <c r="G62" s="2" t="s">
        <v>266</v>
      </c>
      <c r="H62" s="2" t="s">
        <v>16</v>
      </c>
      <c r="I62" s="2" t="s">
        <v>24</v>
      </c>
      <c r="J62" s="2" t="s">
        <v>25</v>
      </c>
      <c r="K62" s="2"/>
    </row>
    <row r="63" spans="1:11" ht="51">
      <c r="A63" s="2">
        <v>62</v>
      </c>
      <c r="B63" s="2" t="s">
        <v>267</v>
      </c>
      <c r="C63" s="2">
        <v>2026</v>
      </c>
      <c r="D63" s="2" t="s">
        <v>12</v>
      </c>
      <c r="E63" s="2" t="s">
        <v>268</v>
      </c>
      <c r="F63" s="2" t="s">
        <v>269</v>
      </c>
      <c r="G63" s="2" t="s">
        <v>270</v>
      </c>
      <c r="H63" s="2" t="s">
        <v>16</v>
      </c>
      <c r="I63" s="2" t="s">
        <v>17</v>
      </c>
      <c r="J63" s="2" t="s">
        <v>18</v>
      </c>
      <c r="K63" s="2"/>
    </row>
    <row r="64" spans="1:11" ht="38.25">
      <c r="A64" s="2">
        <v>63</v>
      </c>
      <c r="B64" s="2" t="s">
        <v>271</v>
      </c>
      <c r="C64" s="2">
        <v>2026</v>
      </c>
      <c r="D64" s="2" t="s">
        <v>12</v>
      </c>
      <c r="E64" s="2" t="s">
        <v>272</v>
      </c>
      <c r="F64" s="2" t="s">
        <v>273</v>
      </c>
      <c r="G64" s="2" t="s">
        <v>274</v>
      </c>
      <c r="H64" s="2" t="s">
        <v>16</v>
      </c>
      <c r="I64" s="2" t="s">
        <v>24</v>
      </c>
      <c r="J64" s="2" t="s">
        <v>25</v>
      </c>
      <c r="K64" s="2"/>
    </row>
    <row r="65" spans="1:11" ht="51">
      <c r="A65" s="2">
        <v>64</v>
      </c>
      <c r="B65" s="2" t="s">
        <v>275</v>
      </c>
      <c r="C65" s="2">
        <v>2026</v>
      </c>
      <c r="D65" s="2" t="s">
        <v>35</v>
      </c>
      <c r="E65" s="2" t="s">
        <v>276</v>
      </c>
      <c r="F65" s="2" t="s">
        <v>277</v>
      </c>
      <c r="G65" s="2" t="s">
        <v>278</v>
      </c>
      <c r="H65" s="2" t="s">
        <v>16</v>
      </c>
      <c r="I65" s="2" t="s">
        <v>17</v>
      </c>
      <c r="J65" s="2" t="s">
        <v>18</v>
      </c>
      <c r="K65" s="2"/>
    </row>
    <row r="66" spans="1:11" ht="63.75">
      <c r="A66" s="2">
        <v>65</v>
      </c>
      <c r="B66" s="2" t="s">
        <v>279</v>
      </c>
      <c r="C66" s="2">
        <v>2026</v>
      </c>
      <c r="D66" s="2" t="s">
        <v>20</v>
      </c>
      <c r="E66" s="2" t="s">
        <v>280</v>
      </c>
      <c r="F66" s="2" t="s">
        <v>281</v>
      </c>
      <c r="G66" s="2" t="s">
        <v>282</v>
      </c>
      <c r="H66" s="2" t="s">
        <v>16</v>
      </c>
      <c r="I66" s="2" t="s">
        <v>24</v>
      </c>
      <c r="J66" s="2" t="s">
        <v>25</v>
      </c>
      <c r="K66" s="2"/>
    </row>
    <row r="67" spans="1:11" ht="38.25">
      <c r="A67" s="2">
        <v>66</v>
      </c>
      <c r="B67" s="2" t="s">
        <v>283</v>
      </c>
      <c r="C67" s="2">
        <v>2024</v>
      </c>
      <c r="D67" s="2" t="s">
        <v>20</v>
      </c>
      <c r="E67" s="2" t="s">
        <v>284</v>
      </c>
      <c r="F67" s="2" t="s">
        <v>285</v>
      </c>
      <c r="G67" s="2" t="s">
        <v>286</v>
      </c>
      <c r="H67" s="2" t="s">
        <v>16</v>
      </c>
      <c r="I67" s="2" t="s">
        <v>24</v>
      </c>
      <c r="J67" s="2" t="s">
        <v>25</v>
      </c>
      <c r="K67" s="2"/>
    </row>
    <row r="68" spans="1:11" ht="102">
      <c r="A68" s="2">
        <v>67</v>
      </c>
      <c r="B68" s="2" t="s">
        <v>287</v>
      </c>
      <c r="C68" s="2">
        <v>2026</v>
      </c>
      <c r="D68" s="2" t="s">
        <v>35</v>
      </c>
      <c r="E68" s="2" t="s">
        <v>288</v>
      </c>
      <c r="F68" s="2" t="s">
        <v>289</v>
      </c>
      <c r="G68" s="2" t="s">
        <v>290</v>
      </c>
      <c r="H68" s="2" t="s">
        <v>16</v>
      </c>
      <c r="I68" s="2" t="s">
        <v>39</v>
      </c>
      <c r="J68" s="2" t="s">
        <v>40</v>
      </c>
      <c r="K68" s="2"/>
    </row>
    <row r="69" spans="1:11" ht="51">
      <c r="A69" s="2">
        <v>68</v>
      </c>
      <c r="B69" s="2" t="s">
        <v>291</v>
      </c>
      <c r="C69" s="2">
        <v>2026</v>
      </c>
      <c r="D69" s="2" t="s">
        <v>231</v>
      </c>
      <c r="E69" s="2" t="s">
        <v>292</v>
      </c>
      <c r="F69" s="2" t="s">
        <v>293</v>
      </c>
      <c r="G69" s="2" t="s">
        <v>294</v>
      </c>
      <c r="H69" s="2" t="s">
        <v>16</v>
      </c>
      <c r="I69" s="2" t="s">
        <v>24</v>
      </c>
      <c r="J69" s="2" t="s">
        <v>25</v>
      </c>
      <c r="K69" s="2"/>
    </row>
    <row r="70" spans="1:11" ht="38.25">
      <c r="A70" s="2">
        <v>69</v>
      </c>
      <c r="B70" s="2" t="s">
        <v>180</v>
      </c>
      <c r="C70" s="2">
        <v>2026</v>
      </c>
      <c r="D70" s="2" t="s">
        <v>35</v>
      </c>
      <c r="E70" s="2" t="s">
        <v>295</v>
      </c>
      <c r="F70" s="2" t="s">
        <v>296</v>
      </c>
      <c r="G70" s="2" t="s">
        <v>297</v>
      </c>
      <c r="H70" s="2" t="s">
        <v>16</v>
      </c>
      <c r="I70" s="2" t="s">
        <v>17</v>
      </c>
      <c r="J70" s="2" t="s">
        <v>18</v>
      </c>
      <c r="K70" s="2"/>
    </row>
    <row r="71" spans="1:11" ht="38.25">
      <c r="A71" s="2">
        <v>70</v>
      </c>
      <c r="B71" s="2" t="s">
        <v>298</v>
      </c>
      <c r="C71" s="2">
        <v>2026</v>
      </c>
      <c r="D71" s="2" t="s">
        <v>231</v>
      </c>
      <c r="E71" s="2" t="s">
        <v>299</v>
      </c>
      <c r="F71" s="2" t="s">
        <v>300</v>
      </c>
      <c r="G71" s="2" t="s">
        <v>301</v>
      </c>
      <c r="H71" s="2" t="s">
        <v>16</v>
      </c>
      <c r="I71" s="2" t="s">
        <v>24</v>
      </c>
      <c r="J71" s="2" t="s">
        <v>25</v>
      </c>
      <c r="K71" s="2"/>
    </row>
    <row r="72" spans="1:11" ht="369.75">
      <c r="A72" s="2">
        <v>71</v>
      </c>
      <c r="B72" s="2" t="s">
        <v>302</v>
      </c>
      <c r="C72" s="2">
        <v>2025</v>
      </c>
      <c r="D72" s="2" t="s">
        <v>35</v>
      </c>
      <c r="E72" s="2" t="s">
        <v>303</v>
      </c>
      <c r="F72" s="2" t="s">
        <v>304</v>
      </c>
      <c r="G72" s="2" t="s">
        <v>305</v>
      </c>
      <c r="H72" s="2" t="s">
        <v>16</v>
      </c>
      <c r="I72" s="2" t="s">
        <v>24</v>
      </c>
      <c r="J72" s="2" t="s">
        <v>25</v>
      </c>
      <c r="K72" s="2"/>
    </row>
    <row r="73" spans="1:11" ht="38.25">
      <c r="A73" s="2">
        <v>72</v>
      </c>
      <c r="B73" s="2" t="s">
        <v>306</v>
      </c>
      <c r="C73" s="2">
        <v>2026</v>
      </c>
      <c r="D73" s="2" t="s">
        <v>20</v>
      </c>
      <c r="E73" s="2" t="s">
        <v>307</v>
      </c>
      <c r="F73" s="2" t="s">
        <v>308</v>
      </c>
      <c r="G73" s="2" t="s">
        <v>309</v>
      </c>
      <c r="H73" s="2" t="s">
        <v>16</v>
      </c>
      <c r="I73" s="2" t="s">
        <v>24</v>
      </c>
      <c r="J73" s="2" t="s">
        <v>25</v>
      </c>
      <c r="K73" s="2"/>
    </row>
    <row r="74" spans="1:11" ht="38.25">
      <c r="A74" s="2">
        <v>73</v>
      </c>
      <c r="B74" s="2" t="s">
        <v>310</v>
      </c>
      <c r="C74" s="2">
        <v>2026</v>
      </c>
      <c r="D74" s="2" t="s">
        <v>20</v>
      </c>
      <c r="E74" s="2" t="s">
        <v>311</v>
      </c>
      <c r="F74" s="2" t="s">
        <v>312</v>
      </c>
      <c r="G74" s="2" t="s">
        <v>313</v>
      </c>
      <c r="H74" s="2" t="s">
        <v>16</v>
      </c>
      <c r="I74" s="2" t="s">
        <v>24</v>
      </c>
      <c r="J74" s="2" t="s">
        <v>25</v>
      </c>
      <c r="K74" s="2"/>
    </row>
    <row r="75" spans="1:11" ht="89.25">
      <c r="A75" s="2">
        <v>74</v>
      </c>
      <c r="B75" s="2" t="s">
        <v>314</v>
      </c>
      <c r="C75" s="2">
        <v>2022</v>
      </c>
      <c r="D75" s="2" t="s">
        <v>35</v>
      </c>
      <c r="E75" s="2" t="s">
        <v>315</v>
      </c>
      <c r="F75" s="2" t="s">
        <v>316</v>
      </c>
      <c r="G75" s="2" t="s">
        <v>317</v>
      </c>
      <c r="H75" s="2" t="s">
        <v>16</v>
      </c>
      <c r="I75" s="2" t="s">
        <v>39</v>
      </c>
      <c r="J75" s="2" t="s">
        <v>40</v>
      </c>
      <c r="K75" s="2"/>
    </row>
    <row r="76" spans="1:11" ht="51">
      <c r="A76" s="2">
        <v>75</v>
      </c>
      <c r="B76" s="2" t="s">
        <v>318</v>
      </c>
      <c r="C76" s="2">
        <v>2026</v>
      </c>
      <c r="D76" s="2" t="s">
        <v>12</v>
      </c>
      <c r="E76" s="2" t="s">
        <v>319</v>
      </c>
      <c r="F76" s="2" t="s">
        <v>320</v>
      </c>
      <c r="G76" s="2" t="s">
        <v>321</v>
      </c>
      <c r="H76" s="2" t="s">
        <v>16</v>
      </c>
      <c r="I76" s="2" t="s">
        <v>24</v>
      </c>
      <c r="J76" s="2" t="s">
        <v>25</v>
      </c>
      <c r="K76" s="2"/>
    </row>
    <row r="77" spans="1:11" ht="38.25">
      <c r="A77" s="2">
        <v>76</v>
      </c>
      <c r="B77" s="2" t="s">
        <v>322</v>
      </c>
      <c r="C77" s="2">
        <v>2024</v>
      </c>
      <c r="D77" s="2" t="s">
        <v>35</v>
      </c>
      <c r="E77" s="2" t="s">
        <v>323</v>
      </c>
      <c r="F77" s="2" t="s">
        <v>324</v>
      </c>
      <c r="G77" s="2" t="s">
        <v>325</v>
      </c>
      <c r="H77" s="2" t="s">
        <v>16</v>
      </c>
      <c r="I77" s="2" t="s">
        <v>17</v>
      </c>
      <c r="J77" s="2" t="s">
        <v>18</v>
      </c>
      <c r="K77" s="2"/>
    </row>
    <row r="78" spans="1:11" ht="38.25">
      <c r="A78" s="4">
        <v>77</v>
      </c>
      <c r="B78" s="4" t="s">
        <v>326</v>
      </c>
      <c r="C78" s="4">
        <v>2025</v>
      </c>
      <c r="D78" s="4" t="s">
        <v>35</v>
      </c>
      <c r="E78" s="4" t="s">
        <v>327</v>
      </c>
      <c r="F78" s="4" t="s">
        <v>328</v>
      </c>
      <c r="G78" s="4" t="s">
        <v>329</v>
      </c>
      <c r="H78" s="4" t="s">
        <v>255</v>
      </c>
      <c r="I78" s="4" t="s">
        <v>256</v>
      </c>
      <c r="J78" s="4" t="s">
        <v>257</v>
      </c>
      <c r="K78" s="4" t="s">
        <v>330</v>
      </c>
    </row>
    <row r="79" spans="1:11" ht="76.5">
      <c r="A79" s="2">
        <v>78</v>
      </c>
      <c r="B79" s="2" t="s">
        <v>114</v>
      </c>
      <c r="C79" s="2">
        <v>2026</v>
      </c>
      <c r="D79" s="2" t="s">
        <v>115</v>
      </c>
      <c r="E79" s="2" t="s">
        <v>331</v>
      </c>
      <c r="F79" s="2" t="s">
        <v>117</v>
      </c>
      <c r="G79" s="2"/>
      <c r="H79" s="2" t="s">
        <v>16</v>
      </c>
      <c r="I79" s="2" t="s">
        <v>24</v>
      </c>
      <c r="J79" s="2" t="s">
        <v>25</v>
      </c>
      <c r="K79" s="2"/>
    </row>
    <row r="80" spans="1:11" ht="38.25">
      <c r="A80" s="3">
        <v>79</v>
      </c>
      <c r="B80" s="3" t="s">
        <v>332</v>
      </c>
      <c r="C80" s="3">
        <v>2026</v>
      </c>
      <c r="D80" s="3" t="s">
        <v>35</v>
      </c>
      <c r="E80" s="3" t="s">
        <v>333</v>
      </c>
      <c r="F80" s="3" t="s">
        <v>334</v>
      </c>
      <c r="G80" s="3" t="s">
        <v>335</v>
      </c>
      <c r="H80" s="3" t="s">
        <v>45</v>
      </c>
      <c r="I80" s="3" t="s">
        <v>46</v>
      </c>
      <c r="J80" s="3" t="s">
        <v>47</v>
      </c>
      <c r="K80" s="3"/>
    </row>
    <row r="81" spans="1:11" ht="76.5">
      <c r="A81" s="3">
        <v>80</v>
      </c>
      <c r="B81" s="3" t="s">
        <v>336</v>
      </c>
      <c r="C81" s="3">
        <v>2023</v>
      </c>
      <c r="D81" s="3" t="s">
        <v>35</v>
      </c>
      <c r="E81" s="3" t="s">
        <v>337</v>
      </c>
      <c r="F81" s="3" t="s">
        <v>253</v>
      </c>
      <c r="G81" s="3" t="s">
        <v>338</v>
      </c>
      <c r="H81" s="3" t="s">
        <v>45</v>
      </c>
      <c r="I81" s="3" t="s">
        <v>46</v>
      </c>
      <c r="J81" s="3" t="s">
        <v>47</v>
      </c>
      <c r="K81" s="3"/>
    </row>
    <row r="82" spans="1:11" ht="38.25">
      <c r="A82" s="3">
        <v>81</v>
      </c>
      <c r="B82" s="3" t="s">
        <v>339</v>
      </c>
      <c r="C82" s="3">
        <v>2025</v>
      </c>
      <c r="D82" s="3" t="s">
        <v>35</v>
      </c>
      <c r="E82" s="3" t="s">
        <v>340</v>
      </c>
      <c r="F82" s="3" t="s">
        <v>341</v>
      </c>
      <c r="G82" s="3" t="s">
        <v>342</v>
      </c>
      <c r="H82" s="3" t="s">
        <v>45</v>
      </c>
      <c r="I82" s="3" t="s">
        <v>46</v>
      </c>
      <c r="J82" s="3" t="s">
        <v>47</v>
      </c>
      <c r="K82" s="3"/>
    </row>
    <row r="83" spans="1:11" ht="25.5">
      <c r="A83" s="4">
        <v>82</v>
      </c>
      <c r="B83" s="4" t="s">
        <v>343</v>
      </c>
      <c r="C83" s="4">
        <v>2026</v>
      </c>
      <c r="D83" s="4" t="s">
        <v>35</v>
      </c>
      <c r="E83" s="4" t="s">
        <v>344</v>
      </c>
      <c r="F83" s="4" t="s">
        <v>182</v>
      </c>
      <c r="G83" s="4" t="s">
        <v>345</v>
      </c>
      <c r="H83" s="4" t="s">
        <v>255</v>
      </c>
      <c r="I83" s="4" t="s">
        <v>256</v>
      </c>
      <c r="J83" s="4" t="s">
        <v>257</v>
      </c>
      <c r="K83" s="4" t="s">
        <v>346</v>
      </c>
    </row>
    <row r="84" spans="1:11" ht="38.25">
      <c r="A84" s="2">
        <v>83</v>
      </c>
      <c r="B84" s="2" t="s">
        <v>347</v>
      </c>
      <c r="C84" s="2">
        <v>2026</v>
      </c>
      <c r="D84" s="2" t="s">
        <v>20</v>
      </c>
      <c r="E84" s="2" t="s">
        <v>348</v>
      </c>
      <c r="F84" s="2" t="s">
        <v>241</v>
      </c>
      <c r="G84" s="2" t="s">
        <v>349</v>
      </c>
      <c r="H84" s="2" t="s">
        <v>16</v>
      </c>
      <c r="I84" s="2" t="s">
        <v>24</v>
      </c>
      <c r="J84" s="2" t="s">
        <v>25</v>
      </c>
      <c r="K84" s="2"/>
    </row>
    <row r="85" spans="1:11" ht="63.75">
      <c r="A85" s="2">
        <v>84</v>
      </c>
      <c r="B85" s="2" t="s">
        <v>350</v>
      </c>
      <c r="C85" s="2">
        <v>2025</v>
      </c>
      <c r="D85" s="2" t="s">
        <v>35</v>
      </c>
      <c r="E85" s="2" t="s">
        <v>351</v>
      </c>
      <c r="F85" s="2" t="s">
        <v>352</v>
      </c>
      <c r="G85" s="2" t="s">
        <v>353</v>
      </c>
      <c r="H85" s="2" t="s">
        <v>16</v>
      </c>
      <c r="I85" s="2" t="s">
        <v>88</v>
      </c>
      <c r="J85" s="2" t="s">
        <v>89</v>
      </c>
      <c r="K85" s="2"/>
    </row>
    <row r="86" spans="1:11" ht="76.5">
      <c r="A86" s="2">
        <v>85</v>
      </c>
      <c r="B86" s="2" t="s">
        <v>354</v>
      </c>
      <c r="C86" s="2">
        <v>2026</v>
      </c>
      <c r="D86" s="2" t="s">
        <v>35</v>
      </c>
      <c r="E86" s="2" t="s">
        <v>355</v>
      </c>
      <c r="F86" s="2" t="s">
        <v>186</v>
      </c>
      <c r="G86" s="2" t="s">
        <v>356</v>
      </c>
      <c r="H86" s="2" t="s">
        <v>16</v>
      </c>
      <c r="I86" s="2" t="s">
        <v>88</v>
      </c>
      <c r="J86" s="2" t="s">
        <v>89</v>
      </c>
      <c r="K86" s="2"/>
    </row>
    <row r="87" spans="1:11" ht="25.5">
      <c r="A87" s="2">
        <v>86</v>
      </c>
      <c r="B87" s="2" t="s">
        <v>357</v>
      </c>
      <c r="C87" s="2">
        <v>2023</v>
      </c>
      <c r="D87" s="2" t="s">
        <v>35</v>
      </c>
      <c r="E87" s="2" t="s">
        <v>358</v>
      </c>
      <c r="F87" s="2" t="s">
        <v>359</v>
      </c>
      <c r="G87" s="2" t="s">
        <v>360</v>
      </c>
      <c r="H87" s="2" t="s">
        <v>16</v>
      </c>
      <c r="I87" s="2" t="s">
        <v>39</v>
      </c>
      <c r="J87" s="2" t="s">
        <v>40</v>
      </c>
      <c r="K87" s="2"/>
    </row>
    <row r="88" spans="1:11" ht="229.5">
      <c r="A88" s="2">
        <v>87</v>
      </c>
      <c r="B88" s="2" t="s">
        <v>361</v>
      </c>
      <c r="C88" s="2">
        <v>2026</v>
      </c>
      <c r="D88" s="2" t="s">
        <v>35</v>
      </c>
      <c r="E88" s="2" t="s">
        <v>362</v>
      </c>
      <c r="F88" s="2" t="s">
        <v>363</v>
      </c>
      <c r="G88" s="2" t="s">
        <v>364</v>
      </c>
      <c r="H88" s="2" t="s">
        <v>16</v>
      </c>
      <c r="I88" s="2" t="s">
        <v>39</v>
      </c>
      <c r="J88" s="2" t="s">
        <v>40</v>
      </c>
      <c r="K88" s="2"/>
    </row>
    <row r="89" spans="1:11" ht="38.25">
      <c r="A89" s="2">
        <v>88</v>
      </c>
      <c r="B89" s="2" t="s">
        <v>365</v>
      </c>
      <c r="C89" s="2">
        <v>2026</v>
      </c>
      <c r="D89" s="2" t="s">
        <v>12</v>
      </c>
      <c r="E89" s="2" t="s">
        <v>366</v>
      </c>
      <c r="F89" s="2" t="s">
        <v>367</v>
      </c>
      <c r="G89" s="2" t="s">
        <v>368</v>
      </c>
      <c r="H89" s="2" t="s">
        <v>16</v>
      </c>
      <c r="I89" s="2" t="s">
        <v>17</v>
      </c>
      <c r="J89" s="2" t="s">
        <v>18</v>
      </c>
      <c r="K89" s="2"/>
    </row>
    <row r="90" spans="1:11" ht="51">
      <c r="A90" s="2">
        <v>89</v>
      </c>
      <c r="B90" s="2" t="s">
        <v>369</v>
      </c>
      <c r="C90" s="2">
        <v>2025</v>
      </c>
      <c r="D90" s="2" t="s">
        <v>12</v>
      </c>
      <c r="E90" s="2" t="s">
        <v>370</v>
      </c>
      <c r="F90" s="2" t="s">
        <v>371</v>
      </c>
      <c r="G90" s="2" t="s">
        <v>372</v>
      </c>
      <c r="H90" s="2" t="s">
        <v>16</v>
      </c>
      <c r="I90" s="2" t="s">
        <v>17</v>
      </c>
      <c r="J90" s="2" t="s">
        <v>18</v>
      </c>
      <c r="K90" s="2"/>
    </row>
    <row r="91" spans="1:11" ht="76.5">
      <c r="A91" s="4">
        <v>90</v>
      </c>
      <c r="B91" s="4" t="s">
        <v>373</v>
      </c>
      <c r="C91" s="4">
        <v>2025</v>
      </c>
      <c r="D91" s="4" t="s">
        <v>35</v>
      </c>
      <c r="E91" s="4" t="s">
        <v>374</v>
      </c>
      <c r="F91" s="4" t="s">
        <v>375</v>
      </c>
      <c r="G91" s="4" t="s">
        <v>376</v>
      </c>
      <c r="H91" s="4" t="s">
        <v>255</v>
      </c>
      <c r="I91" s="4" t="s">
        <v>256</v>
      </c>
      <c r="J91" s="4" t="s">
        <v>257</v>
      </c>
      <c r="K91" s="4" t="s">
        <v>377</v>
      </c>
    </row>
    <row r="92" spans="1:11" ht="63.75">
      <c r="A92" s="2">
        <v>91</v>
      </c>
      <c r="B92" s="2" t="s">
        <v>378</v>
      </c>
      <c r="C92" s="2">
        <v>2026</v>
      </c>
      <c r="D92" s="2" t="s">
        <v>12</v>
      </c>
      <c r="E92" s="2" t="s">
        <v>379</v>
      </c>
      <c r="F92" s="2" t="s">
        <v>174</v>
      </c>
      <c r="G92" s="2" t="s">
        <v>380</v>
      </c>
      <c r="H92" s="2" t="s">
        <v>16</v>
      </c>
      <c r="I92" s="2" t="s">
        <v>24</v>
      </c>
      <c r="J92" s="2" t="s">
        <v>25</v>
      </c>
      <c r="K92" s="2"/>
    </row>
    <row r="93" spans="1:11" ht="102">
      <c r="A93" s="3">
        <v>92</v>
      </c>
      <c r="B93" s="3" t="s">
        <v>381</v>
      </c>
      <c r="C93" s="3">
        <v>2021</v>
      </c>
      <c r="D93" s="3" t="s">
        <v>35</v>
      </c>
      <c r="E93" s="3" t="s">
        <v>382</v>
      </c>
      <c r="F93" s="3" t="s">
        <v>383</v>
      </c>
      <c r="G93" s="3" t="s">
        <v>384</v>
      </c>
      <c r="H93" s="3" t="s">
        <v>45</v>
      </c>
      <c r="I93" s="3" t="s">
        <v>46</v>
      </c>
      <c r="J93" s="3" t="s">
        <v>47</v>
      </c>
      <c r="K93" s="3"/>
    </row>
    <row r="94" spans="1:11" ht="76.5">
      <c r="A94" s="2">
        <v>93</v>
      </c>
      <c r="B94" s="2" t="s">
        <v>385</v>
      </c>
      <c r="C94" s="2">
        <v>2025</v>
      </c>
      <c r="D94" s="2" t="s">
        <v>12</v>
      </c>
      <c r="E94" s="2" t="s">
        <v>386</v>
      </c>
      <c r="F94" s="2" t="s">
        <v>387</v>
      </c>
      <c r="G94" s="2" t="s">
        <v>388</v>
      </c>
      <c r="H94" s="2" t="s">
        <v>16</v>
      </c>
      <c r="I94" s="2" t="s">
        <v>17</v>
      </c>
      <c r="J94" s="2" t="s">
        <v>18</v>
      </c>
      <c r="K94" s="2"/>
    </row>
    <row r="95" spans="1:11" ht="76.5">
      <c r="A95" s="2">
        <v>94</v>
      </c>
      <c r="B95" s="2" t="s">
        <v>389</v>
      </c>
      <c r="C95" s="2">
        <v>2026</v>
      </c>
      <c r="D95" s="2" t="s">
        <v>12</v>
      </c>
      <c r="E95" s="2" t="s">
        <v>390</v>
      </c>
      <c r="F95" s="2" t="s">
        <v>391</v>
      </c>
      <c r="G95" s="2" t="s">
        <v>392</v>
      </c>
      <c r="H95" s="2" t="s">
        <v>16</v>
      </c>
      <c r="I95" s="2" t="s">
        <v>17</v>
      </c>
      <c r="J95" s="2" t="s">
        <v>18</v>
      </c>
      <c r="K95" s="2"/>
    </row>
    <row r="96" spans="1:11" ht="25.5">
      <c r="A96" s="2">
        <v>95</v>
      </c>
      <c r="B96" s="2" t="s">
        <v>393</v>
      </c>
      <c r="C96" s="2">
        <v>2026</v>
      </c>
      <c r="D96" s="2" t="s">
        <v>35</v>
      </c>
      <c r="E96" s="2" t="s">
        <v>394</v>
      </c>
      <c r="F96" s="2" t="s">
        <v>22</v>
      </c>
      <c r="G96" s="2" t="s">
        <v>395</v>
      </c>
      <c r="H96" s="2" t="s">
        <v>16</v>
      </c>
      <c r="I96" s="2" t="s">
        <v>39</v>
      </c>
      <c r="J96" s="2" t="s">
        <v>40</v>
      </c>
      <c r="K96" s="2"/>
    </row>
    <row r="97" spans="1:11" ht="63.75">
      <c r="A97" s="2">
        <v>96</v>
      </c>
      <c r="B97" s="2" t="s">
        <v>396</v>
      </c>
      <c r="C97" s="2">
        <v>2026</v>
      </c>
      <c r="D97" s="2" t="s">
        <v>35</v>
      </c>
      <c r="E97" s="2" t="s">
        <v>397</v>
      </c>
      <c r="F97" s="2" t="s">
        <v>398</v>
      </c>
      <c r="G97" s="2"/>
      <c r="H97" s="2" t="s">
        <v>16</v>
      </c>
      <c r="I97" s="2" t="s">
        <v>24</v>
      </c>
      <c r="J97" s="2" t="s">
        <v>25</v>
      </c>
      <c r="K97" s="2"/>
    </row>
    <row r="98" spans="1:11" ht="38.25">
      <c r="A98" s="2">
        <v>97</v>
      </c>
      <c r="B98" s="2" t="s">
        <v>399</v>
      </c>
      <c r="C98" s="2">
        <v>2026</v>
      </c>
      <c r="D98" s="2" t="s">
        <v>20</v>
      </c>
      <c r="E98" s="2" t="s">
        <v>400</v>
      </c>
      <c r="F98" s="2" t="s">
        <v>401</v>
      </c>
      <c r="G98" s="2" t="s">
        <v>402</v>
      </c>
      <c r="H98" s="2" t="s">
        <v>16</v>
      </c>
      <c r="I98" s="2" t="s">
        <v>24</v>
      </c>
      <c r="J98" s="2" t="s">
        <v>25</v>
      </c>
      <c r="K98" s="2"/>
    </row>
    <row r="99" spans="1:11" ht="127.5">
      <c r="A99" s="4">
        <v>98</v>
      </c>
      <c r="B99" s="4" t="s">
        <v>403</v>
      </c>
      <c r="C99" s="4">
        <v>2026</v>
      </c>
      <c r="D99" s="4" t="s">
        <v>35</v>
      </c>
      <c r="E99" s="4" t="s">
        <v>404</v>
      </c>
      <c r="F99" s="4" t="s">
        <v>405</v>
      </c>
      <c r="G99" s="4" t="s">
        <v>406</v>
      </c>
      <c r="H99" s="4" t="s">
        <v>255</v>
      </c>
      <c r="I99" s="4" t="s">
        <v>256</v>
      </c>
      <c r="J99" s="4" t="s">
        <v>257</v>
      </c>
      <c r="K99" s="4" t="s">
        <v>407</v>
      </c>
    </row>
    <row r="100" spans="1:11" ht="38.25">
      <c r="A100" s="2">
        <v>99</v>
      </c>
      <c r="B100" s="2" t="s">
        <v>408</v>
      </c>
      <c r="C100" s="2">
        <v>2026</v>
      </c>
      <c r="D100" s="2" t="s">
        <v>35</v>
      </c>
      <c r="E100" s="2" t="s">
        <v>409</v>
      </c>
      <c r="F100" s="2" t="s">
        <v>22</v>
      </c>
      <c r="G100" s="2" t="s">
        <v>410</v>
      </c>
      <c r="H100" s="2" t="s">
        <v>16</v>
      </c>
      <c r="I100" s="2" t="s">
        <v>24</v>
      </c>
      <c r="J100" s="2" t="s">
        <v>25</v>
      </c>
      <c r="K100" s="2"/>
    </row>
    <row r="101" spans="1:11" ht="76.5">
      <c r="A101" s="2">
        <v>100</v>
      </c>
      <c r="B101" s="2" t="s">
        <v>411</v>
      </c>
      <c r="C101" s="2">
        <v>2025</v>
      </c>
      <c r="D101" s="2" t="s">
        <v>35</v>
      </c>
      <c r="E101" s="2" t="s">
        <v>412</v>
      </c>
      <c r="F101" s="2" t="s">
        <v>413</v>
      </c>
      <c r="G101" s="2" t="s">
        <v>414</v>
      </c>
      <c r="H101" s="2" t="s">
        <v>16</v>
      </c>
      <c r="I101" s="2" t="s">
        <v>82</v>
      </c>
      <c r="J101" s="2" t="s">
        <v>83</v>
      </c>
      <c r="K101" s="2"/>
    </row>
    <row r="102" spans="1:11" ht="38.25">
      <c r="A102" s="2">
        <v>101</v>
      </c>
      <c r="B102" s="2" t="s">
        <v>415</v>
      </c>
      <c r="C102" s="2">
        <v>2026</v>
      </c>
      <c r="D102" s="2" t="s">
        <v>35</v>
      </c>
      <c r="E102" s="2" t="s">
        <v>416</v>
      </c>
      <c r="F102" s="2" t="s">
        <v>417</v>
      </c>
      <c r="G102" s="2" t="s">
        <v>418</v>
      </c>
      <c r="H102" s="2" t="s">
        <v>16</v>
      </c>
      <c r="I102" s="2" t="s">
        <v>17</v>
      </c>
      <c r="J102" s="2" t="s">
        <v>18</v>
      </c>
      <c r="K102" s="2"/>
    </row>
    <row r="103" spans="1:11" ht="38.25">
      <c r="A103" s="2">
        <v>102</v>
      </c>
      <c r="B103" s="2" t="s">
        <v>419</v>
      </c>
      <c r="C103" s="2">
        <v>2024</v>
      </c>
      <c r="D103" s="2" t="s">
        <v>35</v>
      </c>
      <c r="E103" s="2" t="s">
        <v>420</v>
      </c>
      <c r="F103" s="2" t="s">
        <v>80</v>
      </c>
      <c r="G103" s="2" t="s">
        <v>421</v>
      </c>
      <c r="H103" s="2" t="s">
        <v>16</v>
      </c>
      <c r="I103" s="2" t="s">
        <v>39</v>
      </c>
      <c r="J103" s="2" t="s">
        <v>40</v>
      </c>
      <c r="K103" s="2"/>
    </row>
    <row r="104" spans="1:11" ht="76.5">
      <c r="A104" s="2">
        <v>103</v>
      </c>
      <c r="B104" s="2" t="s">
        <v>422</v>
      </c>
      <c r="C104" s="2">
        <v>2023</v>
      </c>
      <c r="D104" s="2" t="s">
        <v>35</v>
      </c>
      <c r="E104" s="2" t="s">
        <v>423</v>
      </c>
      <c r="F104" s="2" t="s">
        <v>424</v>
      </c>
      <c r="G104" s="2" t="s">
        <v>425</v>
      </c>
      <c r="H104" s="2" t="s">
        <v>16</v>
      </c>
      <c r="I104" s="2" t="s">
        <v>17</v>
      </c>
      <c r="J104" s="2" t="s">
        <v>18</v>
      </c>
      <c r="K104" s="2"/>
    </row>
    <row r="105" spans="1:11" ht="51">
      <c r="A105" s="2">
        <v>104</v>
      </c>
      <c r="B105" s="2" t="s">
        <v>426</v>
      </c>
      <c r="C105" s="2">
        <v>2025</v>
      </c>
      <c r="D105" s="2" t="s">
        <v>35</v>
      </c>
      <c r="E105" s="2" t="s">
        <v>427</v>
      </c>
      <c r="F105" s="2" t="s">
        <v>428</v>
      </c>
      <c r="G105" s="2" t="s">
        <v>429</v>
      </c>
      <c r="H105" s="2" t="s">
        <v>16</v>
      </c>
      <c r="I105" s="2" t="s">
        <v>17</v>
      </c>
      <c r="J105" s="2" t="s">
        <v>18</v>
      </c>
      <c r="K105" s="2"/>
    </row>
    <row r="106" spans="1:11" ht="51">
      <c r="A106" s="2">
        <v>105</v>
      </c>
      <c r="B106" s="2" t="s">
        <v>430</v>
      </c>
      <c r="C106" s="2">
        <v>2026</v>
      </c>
      <c r="D106" s="2" t="s">
        <v>12</v>
      </c>
      <c r="E106" s="2" t="s">
        <v>431</v>
      </c>
      <c r="F106" s="2" t="s">
        <v>432</v>
      </c>
      <c r="G106" s="2" t="s">
        <v>433</v>
      </c>
      <c r="H106" s="2" t="s">
        <v>16</v>
      </c>
      <c r="I106" s="2" t="s">
        <v>24</v>
      </c>
      <c r="J106" s="2" t="s">
        <v>25</v>
      </c>
      <c r="K106" s="2"/>
    </row>
    <row r="107" spans="1:11" ht="89.25">
      <c r="A107" s="2">
        <v>106</v>
      </c>
      <c r="B107" s="2" t="s">
        <v>434</v>
      </c>
      <c r="C107" s="2">
        <v>2026</v>
      </c>
      <c r="D107" s="2" t="s">
        <v>35</v>
      </c>
      <c r="E107" s="2" t="s">
        <v>435</v>
      </c>
      <c r="F107" s="2" t="s">
        <v>28</v>
      </c>
      <c r="G107" s="2" t="s">
        <v>436</v>
      </c>
      <c r="H107" s="2" t="s">
        <v>16</v>
      </c>
      <c r="I107" s="2" t="s">
        <v>82</v>
      </c>
      <c r="J107" s="2" t="s">
        <v>83</v>
      </c>
      <c r="K107" s="2"/>
    </row>
    <row r="108" spans="1:11" ht="63.75">
      <c r="A108" s="2">
        <v>107</v>
      </c>
      <c r="B108" s="2" t="s">
        <v>437</v>
      </c>
      <c r="C108" s="2">
        <v>2024</v>
      </c>
      <c r="D108" s="2" t="s">
        <v>35</v>
      </c>
      <c r="E108" s="2" t="s">
        <v>438</v>
      </c>
      <c r="F108" s="2" t="s">
        <v>439</v>
      </c>
      <c r="G108" s="2" t="s">
        <v>440</v>
      </c>
      <c r="H108" s="2" t="s">
        <v>16</v>
      </c>
      <c r="I108" s="2" t="s">
        <v>39</v>
      </c>
      <c r="J108" s="2" t="s">
        <v>40</v>
      </c>
      <c r="K108" s="2"/>
    </row>
    <row r="109" spans="1:11" ht="51">
      <c r="A109" s="2">
        <v>108</v>
      </c>
      <c r="B109" s="2" t="s">
        <v>441</v>
      </c>
      <c r="C109" s="2">
        <v>2026</v>
      </c>
      <c r="D109" s="2" t="s">
        <v>12</v>
      </c>
      <c r="E109" s="2" t="s">
        <v>442</v>
      </c>
      <c r="F109" s="2" t="s">
        <v>443</v>
      </c>
      <c r="G109" s="2" t="s">
        <v>444</v>
      </c>
      <c r="H109" s="2" t="s">
        <v>16</v>
      </c>
      <c r="I109" s="2" t="s">
        <v>88</v>
      </c>
      <c r="J109" s="2" t="s">
        <v>89</v>
      </c>
      <c r="K109" s="2"/>
    </row>
    <row r="110" spans="1:11" ht="102">
      <c r="A110" s="2">
        <v>109</v>
      </c>
      <c r="B110" s="2" t="s">
        <v>445</v>
      </c>
      <c r="C110" s="2">
        <v>2026</v>
      </c>
      <c r="D110" s="2" t="s">
        <v>35</v>
      </c>
      <c r="E110" s="2" t="s">
        <v>446</v>
      </c>
      <c r="F110" s="2" t="s">
        <v>447</v>
      </c>
      <c r="G110" s="2" t="s">
        <v>448</v>
      </c>
      <c r="H110" s="2" t="s">
        <v>16</v>
      </c>
      <c r="I110" s="2" t="s">
        <v>17</v>
      </c>
      <c r="J110" s="2" t="s">
        <v>18</v>
      </c>
      <c r="K110" s="2"/>
    </row>
    <row r="111" spans="1:11" ht="25.5">
      <c r="A111" s="3">
        <v>110</v>
      </c>
      <c r="B111" s="3" t="s">
        <v>449</v>
      </c>
      <c r="C111" s="3">
        <v>2026</v>
      </c>
      <c r="D111" s="3" t="s">
        <v>35</v>
      </c>
      <c r="E111" s="3" t="s">
        <v>450</v>
      </c>
      <c r="F111" s="3" t="s">
        <v>451</v>
      </c>
      <c r="G111" s="3" t="s">
        <v>452</v>
      </c>
      <c r="H111" s="3" t="s">
        <v>45</v>
      </c>
      <c r="I111" s="3" t="s">
        <v>46</v>
      </c>
      <c r="J111" s="3" t="s">
        <v>47</v>
      </c>
      <c r="K111" s="3"/>
    </row>
    <row r="112" spans="1:11" ht="38.25">
      <c r="A112" s="2">
        <v>111</v>
      </c>
      <c r="B112" s="2" t="s">
        <v>453</v>
      </c>
      <c r="C112" s="2">
        <v>2026</v>
      </c>
      <c r="D112" s="2" t="s">
        <v>454</v>
      </c>
      <c r="E112" s="2" t="s">
        <v>455</v>
      </c>
      <c r="F112" s="2" t="s">
        <v>456</v>
      </c>
      <c r="G112" s="2" t="s">
        <v>457</v>
      </c>
      <c r="H112" s="2" t="s">
        <v>16</v>
      </c>
      <c r="I112" s="2" t="s">
        <v>24</v>
      </c>
      <c r="J112" s="2" t="s">
        <v>25</v>
      </c>
      <c r="K112" s="2"/>
    </row>
    <row r="113" spans="1:11" ht="51">
      <c r="A113" s="2">
        <v>112</v>
      </c>
      <c r="B113" s="2" t="s">
        <v>458</v>
      </c>
      <c r="C113" s="2">
        <v>2026</v>
      </c>
      <c r="D113" s="2" t="s">
        <v>20</v>
      </c>
      <c r="E113" s="2" t="s">
        <v>459</v>
      </c>
      <c r="F113" s="2" t="s">
        <v>460</v>
      </c>
      <c r="G113" s="2" t="s">
        <v>461</v>
      </c>
      <c r="H113" s="2" t="s">
        <v>16</v>
      </c>
      <c r="I113" s="2" t="s">
        <v>24</v>
      </c>
      <c r="J113" s="2" t="s">
        <v>25</v>
      </c>
      <c r="K113" s="2"/>
    </row>
    <row r="114" spans="1:11" ht="51">
      <c r="A114" s="2">
        <v>113</v>
      </c>
      <c r="B114" s="2" t="s">
        <v>462</v>
      </c>
      <c r="C114" s="2">
        <v>2026</v>
      </c>
      <c r="D114" s="2" t="s">
        <v>12</v>
      </c>
      <c r="E114" s="2" t="s">
        <v>463</v>
      </c>
      <c r="F114" s="2" t="s">
        <v>464</v>
      </c>
      <c r="G114" s="2" t="s">
        <v>465</v>
      </c>
      <c r="H114" s="2" t="s">
        <v>16</v>
      </c>
      <c r="I114" s="2" t="s">
        <v>17</v>
      </c>
      <c r="J114" s="2" t="s">
        <v>18</v>
      </c>
      <c r="K114" s="2"/>
    </row>
    <row r="115" spans="1:11" ht="38.25">
      <c r="A115" s="2">
        <v>114</v>
      </c>
      <c r="B115" s="2" t="s">
        <v>466</v>
      </c>
      <c r="C115" s="2">
        <v>2025</v>
      </c>
      <c r="D115" s="2" t="s">
        <v>35</v>
      </c>
      <c r="E115" s="2" t="s">
        <v>467</v>
      </c>
      <c r="F115" s="2" t="s">
        <v>468</v>
      </c>
      <c r="G115" s="2" t="s">
        <v>469</v>
      </c>
      <c r="H115" s="2" t="s">
        <v>16</v>
      </c>
      <c r="I115" s="2" t="s">
        <v>24</v>
      </c>
      <c r="J115" s="2" t="s">
        <v>25</v>
      </c>
      <c r="K115" s="2"/>
    </row>
    <row r="116" spans="1:11" ht="51">
      <c r="A116" s="2">
        <v>115</v>
      </c>
      <c r="B116" s="2" t="s">
        <v>470</v>
      </c>
      <c r="C116" s="2">
        <v>2026</v>
      </c>
      <c r="D116" s="2" t="s">
        <v>20</v>
      </c>
      <c r="E116" s="2" t="s">
        <v>471</v>
      </c>
      <c r="F116" s="2" t="s">
        <v>472</v>
      </c>
      <c r="G116" s="2" t="s">
        <v>473</v>
      </c>
      <c r="H116" s="2" t="s">
        <v>16</v>
      </c>
      <c r="I116" s="2" t="s">
        <v>24</v>
      </c>
      <c r="J116" s="2" t="s">
        <v>25</v>
      </c>
      <c r="K116" s="2"/>
    </row>
    <row r="117" spans="1:11" ht="51">
      <c r="A117" s="2">
        <v>116</v>
      </c>
      <c r="B117" s="2" t="s">
        <v>474</v>
      </c>
      <c r="C117" s="2">
        <v>2024</v>
      </c>
      <c r="D117" s="2" t="s">
        <v>12</v>
      </c>
      <c r="E117" s="2" t="s">
        <v>475</v>
      </c>
      <c r="F117" s="2" t="s">
        <v>476</v>
      </c>
      <c r="G117" s="2" t="s">
        <v>477</v>
      </c>
      <c r="H117" s="2" t="s">
        <v>16</v>
      </c>
      <c r="I117" s="2" t="s">
        <v>17</v>
      </c>
      <c r="J117" s="2" t="s">
        <v>18</v>
      </c>
      <c r="K117" s="2"/>
    </row>
    <row r="118" spans="1:11" ht="140.25">
      <c r="A118" s="2">
        <v>117</v>
      </c>
      <c r="B118" s="2" t="s">
        <v>478</v>
      </c>
      <c r="C118" s="2">
        <v>2024</v>
      </c>
      <c r="D118" s="2" t="s">
        <v>35</v>
      </c>
      <c r="E118" s="2" t="s">
        <v>479</v>
      </c>
      <c r="F118" s="2" t="s">
        <v>480</v>
      </c>
      <c r="G118" s="2" t="s">
        <v>481</v>
      </c>
      <c r="H118" s="2" t="s">
        <v>16</v>
      </c>
      <c r="I118" s="2" t="s">
        <v>39</v>
      </c>
      <c r="J118" s="2" t="s">
        <v>40</v>
      </c>
      <c r="K118" s="2"/>
    </row>
    <row r="119" spans="1:11" ht="63.75">
      <c r="A119" s="2">
        <v>118</v>
      </c>
      <c r="B119" s="2" t="s">
        <v>482</v>
      </c>
      <c r="C119" s="2">
        <v>2024</v>
      </c>
      <c r="D119" s="2" t="s">
        <v>12</v>
      </c>
      <c r="E119" s="2" t="s">
        <v>483</v>
      </c>
      <c r="F119" s="2" t="s">
        <v>484</v>
      </c>
      <c r="G119" s="2" t="s">
        <v>485</v>
      </c>
      <c r="H119" s="2" t="s">
        <v>16</v>
      </c>
      <c r="I119" s="2" t="s">
        <v>39</v>
      </c>
      <c r="J119" s="2" t="s">
        <v>40</v>
      </c>
      <c r="K119" s="2"/>
    </row>
    <row r="120" spans="1:11" ht="51">
      <c r="A120" s="3">
        <v>119</v>
      </c>
      <c r="B120" s="3" t="s">
        <v>486</v>
      </c>
      <c r="C120" s="3">
        <v>2023</v>
      </c>
      <c r="D120" s="3" t="s">
        <v>12</v>
      </c>
      <c r="E120" s="3" t="s">
        <v>487</v>
      </c>
      <c r="F120" s="3" t="s">
        <v>488</v>
      </c>
      <c r="G120" s="3" t="s">
        <v>489</v>
      </c>
      <c r="H120" s="3" t="s">
        <v>45</v>
      </c>
      <c r="I120" s="3" t="s">
        <v>46</v>
      </c>
      <c r="J120" s="3" t="s">
        <v>47</v>
      </c>
      <c r="K120" s="3"/>
    </row>
    <row r="121" spans="1:11" ht="51">
      <c r="A121" s="4">
        <v>120</v>
      </c>
      <c r="B121" s="4" t="s">
        <v>490</v>
      </c>
      <c r="C121" s="4">
        <v>2026</v>
      </c>
      <c r="D121" s="4" t="s">
        <v>35</v>
      </c>
      <c r="E121" s="4" t="s">
        <v>491</v>
      </c>
      <c r="F121" s="4" t="s">
        <v>492</v>
      </c>
      <c r="G121" s="4" t="s">
        <v>493</v>
      </c>
      <c r="H121" s="4" t="s">
        <v>255</v>
      </c>
      <c r="I121" s="4" t="s">
        <v>256</v>
      </c>
      <c r="J121" s="4" t="s">
        <v>257</v>
      </c>
      <c r="K121" s="4" t="s">
        <v>494</v>
      </c>
    </row>
    <row r="122" spans="1:11" ht="38.25">
      <c r="A122" s="2">
        <v>121</v>
      </c>
      <c r="B122" s="2" t="s">
        <v>495</v>
      </c>
      <c r="C122" s="2">
        <v>2026</v>
      </c>
      <c r="D122" s="2" t="s">
        <v>35</v>
      </c>
      <c r="E122" s="2" t="s">
        <v>496</v>
      </c>
      <c r="F122" s="2" t="s">
        <v>497</v>
      </c>
      <c r="G122" s="2" t="s">
        <v>498</v>
      </c>
      <c r="H122" s="2" t="s">
        <v>16</v>
      </c>
      <c r="I122" s="2" t="s">
        <v>17</v>
      </c>
      <c r="J122" s="2" t="s">
        <v>18</v>
      </c>
      <c r="K122" s="2"/>
    </row>
    <row r="123" spans="1:11" ht="51">
      <c r="A123" s="3">
        <v>122</v>
      </c>
      <c r="B123" s="3" t="s">
        <v>499</v>
      </c>
      <c r="C123" s="3">
        <v>2026</v>
      </c>
      <c r="D123" s="3" t="s">
        <v>12</v>
      </c>
      <c r="E123" s="3" t="s">
        <v>500</v>
      </c>
      <c r="F123" s="3" t="s">
        <v>501</v>
      </c>
      <c r="G123" s="3" t="s">
        <v>502</v>
      </c>
      <c r="H123" s="3" t="s">
        <v>45</v>
      </c>
      <c r="I123" s="3" t="s">
        <v>46</v>
      </c>
      <c r="J123" s="3" t="s">
        <v>47</v>
      </c>
      <c r="K123" s="3"/>
    </row>
    <row r="124" spans="1:11" ht="51">
      <c r="A124" s="2">
        <v>123</v>
      </c>
      <c r="B124" s="2" t="s">
        <v>503</v>
      </c>
      <c r="C124" s="2">
        <v>2023</v>
      </c>
      <c r="D124" s="2" t="s">
        <v>35</v>
      </c>
      <c r="E124" s="2" t="s">
        <v>504</v>
      </c>
      <c r="F124" s="2" t="s">
        <v>505</v>
      </c>
      <c r="G124" s="2" t="s">
        <v>506</v>
      </c>
      <c r="H124" s="2" t="s">
        <v>16</v>
      </c>
      <c r="I124" s="2" t="s">
        <v>82</v>
      </c>
      <c r="J124" s="2" t="s">
        <v>83</v>
      </c>
      <c r="K124" s="2"/>
    </row>
    <row r="125" spans="1:11" ht="38.25">
      <c r="A125" s="2">
        <v>124</v>
      </c>
      <c r="B125" s="2" t="s">
        <v>507</v>
      </c>
      <c r="C125" s="2">
        <v>2026</v>
      </c>
      <c r="D125" s="2" t="s">
        <v>35</v>
      </c>
      <c r="E125" s="2" t="s">
        <v>508</v>
      </c>
      <c r="F125" s="2" t="s">
        <v>22</v>
      </c>
      <c r="G125" s="2" t="s">
        <v>509</v>
      </c>
      <c r="H125" s="2" t="s">
        <v>16</v>
      </c>
      <c r="I125" s="2" t="s">
        <v>17</v>
      </c>
      <c r="J125" s="2" t="s">
        <v>18</v>
      </c>
      <c r="K125" s="2"/>
    </row>
    <row r="126" spans="1:11" ht="216.75">
      <c r="A126" s="2">
        <v>125</v>
      </c>
      <c r="B126" s="2" t="s">
        <v>510</v>
      </c>
      <c r="C126" s="2">
        <v>2025</v>
      </c>
      <c r="D126" s="2" t="s">
        <v>35</v>
      </c>
      <c r="E126" s="2" t="s">
        <v>511</v>
      </c>
      <c r="F126" s="2" t="s">
        <v>512</v>
      </c>
      <c r="G126" s="2" t="s">
        <v>513</v>
      </c>
      <c r="H126" s="2" t="s">
        <v>16</v>
      </c>
      <c r="I126" s="2" t="s">
        <v>39</v>
      </c>
      <c r="J126" s="2" t="s">
        <v>40</v>
      </c>
      <c r="K126" s="2"/>
    </row>
    <row r="127" spans="1:11" ht="25.5">
      <c r="A127" s="2">
        <v>126</v>
      </c>
      <c r="B127" s="2" t="s">
        <v>110</v>
      </c>
      <c r="C127" s="2">
        <v>2025</v>
      </c>
      <c r="D127" s="2" t="s">
        <v>35</v>
      </c>
      <c r="E127" s="2" t="s">
        <v>514</v>
      </c>
      <c r="F127" s="2" t="s">
        <v>515</v>
      </c>
      <c r="G127" s="2" t="s">
        <v>516</v>
      </c>
      <c r="H127" s="2" t="s">
        <v>16</v>
      </c>
      <c r="I127" s="2" t="s">
        <v>39</v>
      </c>
      <c r="J127" s="2" t="s">
        <v>40</v>
      </c>
      <c r="K127" s="2"/>
    </row>
    <row r="128" spans="1:11" ht="25.5">
      <c r="A128" s="2">
        <v>127</v>
      </c>
      <c r="B128" s="2" t="s">
        <v>517</v>
      </c>
      <c r="C128" s="2">
        <v>2026</v>
      </c>
      <c r="D128" s="2" t="s">
        <v>35</v>
      </c>
      <c r="E128" s="2" t="s">
        <v>518</v>
      </c>
      <c r="F128" s="2" t="s">
        <v>519</v>
      </c>
      <c r="G128" s="2" t="s">
        <v>520</v>
      </c>
      <c r="H128" s="2" t="s">
        <v>16</v>
      </c>
      <c r="I128" s="2" t="s">
        <v>39</v>
      </c>
      <c r="J128" s="2" t="s">
        <v>40</v>
      </c>
      <c r="K128" s="2"/>
    </row>
    <row r="129" spans="1:11" ht="344.25">
      <c r="A129" s="2">
        <v>128</v>
      </c>
      <c r="B129" s="2" t="s">
        <v>521</v>
      </c>
      <c r="C129" s="2">
        <v>2026</v>
      </c>
      <c r="D129" s="2" t="s">
        <v>35</v>
      </c>
      <c r="E129" s="2" t="s">
        <v>522</v>
      </c>
      <c r="F129" s="2" t="s">
        <v>523</v>
      </c>
      <c r="G129" s="2" t="s">
        <v>524</v>
      </c>
      <c r="H129" s="2" t="s">
        <v>16</v>
      </c>
      <c r="I129" s="2" t="s">
        <v>39</v>
      </c>
      <c r="J129" s="2" t="s">
        <v>40</v>
      </c>
      <c r="K129" s="2"/>
    </row>
    <row r="130" spans="1:11" ht="51">
      <c r="A130" s="2">
        <v>129</v>
      </c>
      <c r="B130" s="2" t="s">
        <v>525</v>
      </c>
      <c r="C130" s="2">
        <v>2026</v>
      </c>
      <c r="D130" s="2" t="s">
        <v>35</v>
      </c>
      <c r="E130" s="2" t="s">
        <v>526</v>
      </c>
      <c r="F130" s="2" t="s">
        <v>527</v>
      </c>
      <c r="G130" s="2"/>
      <c r="H130" s="2" t="s">
        <v>16</v>
      </c>
      <c r="I130" s="2" t="s">
        <v>24</v>
      </c>
      <c r="J130" s="2" t="s">
        <v>25</v>
      </c>
      <c r="K130" s="2"/>
    </row>
    <row r="131" spans="1:11" ht="51">
      <c r="A131" s="2">
        <v>130</v>
      </c>
      <c r="B131" s="2" t="s">
        <v>114</v>
      </c>
      <c r="C131" s="2">
        <v>2026</v>
      </c>
      <c r="D131" s="2" t="s">
        <v>115</v>
      </c>
      <c r="E131" s="2" t="s">
        <v>528</v>
      </c>
      <c r="F131" s="2" t="s">
        <v>528</v>
      </c>
      <c r="G131" s="2"/>
      <c r="H131" s="2" t="s">
        <v>16</v>
      </c>
      <c r="I131" s="2" t="s">
        <v>24</v>
      </c>
      <c r="J131" s="2" t="s">
        <v>25</v>
      </c>
      <c r="K131" s="2"/>
    </row>
    <row r="132" spans="1:11" ht="25.5">
      <c r="A132" s="2">
        <v>131</v>
      </c>
      <c r="B132" s="2" t="s">
        <v>529</v>
      </c>
      <c r="C132" s="2">
        <v>2025</v>
      </c>
      <c r="D132" s="2" t="s">
        <v>35</v>
      </c>
      <c r="E132" s="2" t="s">
        <v>530</v>
      </c>
      <c r="F132" s="2" t="s">
        <v>144</v>
      </c>
      <c r="G132" s="2" t="s">
        <v>531</v>
      </c>
      <c r="H132" s="2" t="s">
        <v>16</v>
      </c>
      <c r="I132" s="2" t="s">
        <v>39</v>
      </c>
      <c r="J132" s="2" t="s">
        <v>40</v>
      </c>
      <c r="K132" s="2"/>
    </row>
    <row r="133" spans="1:11" ht="38.25">
      <c r="A133" s="2">
        <v>132</v>
      </c>
      <c r="B133" s="2" t="s">
        <v>532</v>
      </c>
      <c r="C133" s="2">
        <v>2026</v>
      </c>
      <c r="D133" s="2" t="s">
        <v>20</v>
      </c>
      <c r="E133" s="2" t="s">
        <v>533</v>
      </c>
      <c r="F133" s="2" t="s">
        <v>534</v>
      </c>
      <c r="G133" s="2" t="s">
        <v>535</v>
      </c>
      <c r="H133" s="2" t="s">
        <v>16</v>
      </c>
      <c r="I133" s="2" t="s">
        <v>24</v>
      </c>
      <c r="J133" s="2" t="s">
        <v>25</v>
      </c>
      <c r="K133" s="2"/>
    </row>
    <row r="134" spans="1:11" ht="76.5">
      <c r="A134" s="2">
        <v>133</v>
      </c>
      <c r="B134" s="2" t="s">
        <v>536</v>
      </c>
      <c r="C134" s="2">
        <v>2026</v>
      </c>
      <c r="D134" s="2" t="s">
        <v>35</v>
      </c>
      <c r="E134" s="2" t="s">
        <v>537</v>
      </c>
      <c r="F134" s="2" t="s">
        <v>538</v>
      </c>
      <c r="G134" s="2" t="s">
        <v>539</v>
      </c>
      <c r="H134" s="2" t="s">
        <v>16</v>
      </c>
      <c r="I134" s="2" t="s">
        <v>17</v>
      </c>
      <c r="J134" s="2" t="s">
        <v>18</v>
      </c>
      <c r="K134" s="2"/>
    </row>
    <row r="135" spans="1:11" ht="51">
      <c r="A135" s="2">
        <v>134</v>
      </c>
      <c r="B135" s="2" t="s">
        <v>540</v>
      </c>
      <c r="C135" s="2">
        <v>2025</v>
      </c>
      <c r="D135" s="2" t="s">
        <v>35</v>
      </c>
      <c r="E135" s="2" t="s">
        <v>541</v>
      </c>
      <c r="F135" s="2" t="s">
        <v>359</v>
      </c>
      <c r="G135" s="2" t="s">
        <v>542</v>
      </c>
      <c r="H135" s="2" t="s">
        <v>16</v>
      </c>
      <c r="I135" s="2" t="s">
        <v>39</v>
      </c>
      <c r="J135" s="2" t="s">
        <v>40</v>
      </c>
      <c r="K135" s="2"/>
    </row>
    <row r="136" spans="1:11" ht="140.25">
      <c r="A136" s="2">
        <v>135</v>
      </c>
      <c r="B136" s="2" t="s">
        <v>543</v>
      </c>
      <c r="C136" s="2">
        <v>2026</v>
      </c>
      <c r="D136" s="2" t="s">
        <v>20</v>
      </c>
      <c r="E136" s="2" t="s">
        <v>544</v>
      </c>
      <c r="F136" s="2" t="s">
        <v>545</v>
      </c>
      <c r="G136" s="2" t="s">
        <v>546</v>
      </c>
      <c r="H136" s="2" t="s">
        <v>16</v>
      </c>
      <c r="I136" s="2" t="s">
        <v>24</v>
      </c>
      <c r="J136" s="2" t="s">
        <v>25</v>
      </c>
      <c r="K136" s="2"/>
    </row>
    <row r="137" spans="1:11" ht="102">
      <c r="A137" s="2">
        <v>136</v>
      </c>
      <c r="B137" s="2" t="s">
        <v>547</v>
      </c>
      <c r="C137" s="2">
        <v>2025</v>
      </c>
      <c r="D137" s="2" t="s">
        <v>231</v>
      </c>
      <c r="E137" s="2" t="s">
        <v>548</v>
      </c>
      <c r="F137" s="2" t="s">
        <v>549</v>
      </c>
      <c r="G137" s="2" t="s">
        <v>550</v>
      </c>
      <c r="H137" s="2" t="s">
        <v>16</v>
      </c>
      <c r="I137" s="2" t="s">
        <v>24</v>
      </c>
      <c r="J137" s="2" t="s">
        <v>25</v>
      </c>
      <c r="K137" s="2"/>
    </row>
    <row r="138" spans="1:11" ht="63.75">
      <c r="A138" s="2">
        <v>137</v>
      </c>
      <c r="B138" s="2" t="s">
        <v>551</v>
      </c>
      <c r="C138" s="2">
        <v>2024</v>
      </c>
      <c r="D138" s="2" t="s">
        <v>12</v>
      </c>
      <c r="E138" s="2" t="s">
        <v>552</v>
      </c>
      <c r="F138" s="2" t="s">
        <v>553</v>
      </c>
      <c r="G138" s="2" t="s">
        <v>554</v>
      </c>
      <c r="H138" s="2" t="s">
        <v>16</v>
      </c>
      <c r="I138" s="2" t="s">
        <v>17</v>
      </c>
      <c r="J138" s="2" t="s">
        <v>18</v>
      </c>
      <c r="K138" s="2"/>
    </row>
    <row r="139" spans="1:11" ht="153">
      <c r="A139" s="2">
        <v>138</v>
      </c>
      <c r="B139" s="2" t="s">
        <v>555</v>
      </c>
      <c r="C139" s="2">
        <v>2026</v>
      </c>
      <c r="D139" s="2" t="s">
        <v>35</v>
      </c>
      <c r="E139" s="2" t="s">
        <v>556</v>
      </c>
      <c r="F139" s="2" t="s">
        <v>557</v>
      </c>
      <c r="G139" s="2"/>
      <c r="H139" s="2" t="s">
        <v>16</v>
      </c>
      <c r="I139" s="2" t="s">
        <v>17</v>
      </c>
      <c r="J139" s="2" t="s">
        <v>18</v>
      </c>
      <c r="K139" s="2"/>
    </row>
    <row r="140" spans="1:11" ht="76.5">
      <c r="A140" s="4">
        <v>139</v>
      </c>
      <c r="B140" s="4" t="s">
        <v>558</v>
      </c>
      <c r="C140" s="4">
        <v>2026</v>
      </c>
      <c r="D140" s="4" t="s">
        <v>35</v>
      </c>
      <c r="E140" s="4" t="s">
        <v>559</v>
      </c>
      <c r="F140" s="4" t="s">
        <v>560</v>
      </c>
      <c r="G140" s="4" t="s">
        <v>561</v>
      </c>
      <c r="H140" s="4" t="s">
        <v>255</v>
      </c>
      <c r="I140" s="4" t="s">
        <v>256</v>
      </c>
      <c r="J140" s="4" t="s">
        <v>257</v>
      </c>
      <c r="K140" s="4" t="s">
        <v>562</v>
      </c>
    </row>
    <row r="141" spans="1:11" ht="38.25">
      <c r="A141" s="2">
        <v>140</v>
      </c>
      <c r="B141" s="2" t="s">
        <v>563</v>
      </c>
      <c r="C141" s="2">
        <v>2025</v>
      </c>
      <c r="D141" s="2" t="s">
        <v>35</v>
      </c>
      <c r="E141" s="2" t="s">
        <v>564</v>
      </c>
      <c r="F141" s="2" t="s">
        <v>565</v>
      </c>
      <c r="G141" s="2" t="s">
        <v>566</v>
      </c>
      <c r="H141" s="2" t="s">
        <v>16</v>
      </c>
      <c r="I141" s="2" t="s">
        <v>39</v>
      </c>
      <c r="J141" s="2" t="s">
        <v>40</v>
      </c>
      <c r="K141" s="2"/>
    </row>
    <row r="142" spans="1:11" ht="76.5">
      <c r="A142" s="2">
        <v>141</v>
      </c>
      <c r="B142" s="2" t="s">
        <v>567</v>
      </c>
      <c r="C142" s="2">
        <v>2024</v>
      </c>
      <c r="D142" s="2" t="s">
        <v>35</v>
      </c>
      <c r="E142" s="2" t="s">
        <v>568</v>
      </c>
      <c r="F142" s="2" t="s">
        <v>249</v>
      </c>
      <c r="G142" s="2" t="s">
        <v>569</v>
      </c>
      <c r="H142" s="2" t="s">
        <v>16</v>
      </c>
      <c r="I142" s="2" t="s">
        <v>39</v>
      </c>
      <c r="J142" s="2" t="s">
        <v>40</v>
      </c>
      <c r="K142" s="2"/>
    </row>
    <row r="143" spans="1:11" ht="76.5">
      <c r="A143" s="2">
        <v>142</v>
      </c>
      <c r="B143" s="2" t="s">
        <v>570</v>
      </c>
      <c r="C143" s="2">
        <v>2026</v>
      </c>
      <c r="D143" s="2" t="s">
        <v>20</v>
      </c>
      <c r="E143" s="2" t="s">
        <v>571</v>
      </c>
      <c r="F143" s="2" t="s">
        <v>572</v>
      </c>
      <c r="G143" s="2" t="s">
        <v>573</v>
      </c>
      <c r="H143" s="2" t="s">
        <v>16</v>
      </c>
      <c r="I143" s="2" t="s">
        <v>24</v>
      </c>
      <c r="J143" s="2" t="s">
        <v>25</v>
      </c>
      <c r="K143" s="2"/>
    </row>
    <row r="144" spans="1:11" ht="76.5">
      <c r="A144" s="2">
        <v>143</v>
      </c>
      <c r="B144" s="2" t="s">
        <v>574</v>
      </c>
      <c r="C144" s="2">
        <v>2024</v>
      </c>
      <c r="D144" s="2" t="s">
        <v>35</v>
      </c>
      <c r="E144" s="2" t="s">
        <v>575</v>
      </c>
      <c r="F144" s="2" t="s">
        <v>576</v>
      </c>
      <c r="G144" s="2" t="s">
        <v>577</v>
      </c>
      <c r="H144" s="2" t="s">
        <v>16</v>
      </c>
      <c r="I144" s="2" t="s">
        <v>39</v>
      </c>
      <c r="J144" s="2" t="s">
        <v>40</v>
      </c>
      <c r="K144" s="2"/>
    </row>
    <row r="145" spans="1:11" ht="63.75">
      <c r="A145" s="2">
        <v>144</v>
      </c>
      <c r="B145" s="2" t="s">
        <v>114</v>
      </c>
      <c r="C145" s="2">
        <v>2020</v>
      </c>
      <c r="D145" s="2" t="s">
        <v>115</v>
      </c>
      <c r="E145" s="2" t="s">
        <v>578</v>
      </c>
      <c r="F145" s="2" t="s">
        <v>578</v>
      </c>
      <c r="G145" s="2"/>
      <c r="H145" s="2" t="s">
        <v>16</v>
      </c>
      <c r="I145" s="2" t="s">
        <v>24</v>
      </c>
      <c r="J145" s="2" t="s">
        <v>25</v>
      </c>
      <c r="K145" s="2"/>
    </row>
    <row r="146" spans="1:11" ht="89.25">
      <c r="A146" s="4">
        <v>145</v>
      </c>
      <c r="B146" s="4" t="s">
        <v>579</v>
      </c>
      <c r="C146" s="4">
        <v>2026</v>
      </c>
      <c r="D146" s="4" t="s">
        <v>35</v>
      </c>
      <c r="E146" s="4" t="s">
        <v>580</v>
      </c>
      <c r="F146" s="4" t="s">
        <v>581</v>
      </c>
      <c r="G146" s="4" t="s">
        <v>582</v>
      </c>
      <c r="H146" s="4" t="s">
        <v>255</v>
      </c>
      <c r="I146" s="4" t="s">
        <v>256</v>
      </c>
      <c r="J146" s="4" t="s">
        <v>257</v>
      </c>
      <c r="K146" s="4" t="s">
        <v>583</v>
      </c>
    </row>
    <row r="147" spans="1:11" ht="216.75">
      <c r="A147" s="2">
        <v>146</v>
      </c>
      <c r="B147" s="2" t="s">
        <v>584</v>
      </c>
      <c r="C147" s="2">
        <v>2026</v>
      </c>
      <c r="D147" s="2" t="s">
        <v>35</v>
      </c>
      <c r="E147" s="2" t="s">
        <v>585</v>
      </c>
      <c r="F147" s="2" t="s">
        <v>28</v>
      </c>
      <c r="G147" s="2" t="s">
        <v>586</v>
      </c>
      <c r="H147" s="2" t="s">
        <v>16</v>
      </c>
      <c r="I147" s="2" t="s">
        <v>88</v>
      </c>
      <c r="J147" s="2" t="s">
        <v>89</v>
      </c>
      <c r="K147" s="2"/>
    </row>
    <row r="148" spans="1:11" ht="63.75">
      <c r="A148" s="2">
        <v>147</v>
      </c>
      <c r="B148" s="2" t="s">
        <v>587</v>
      </c>
      <c r="C148" s="2">
        <v>2027</v>
      </c>
      <c r="D148" s="2" t="s">
        <v>12</v>
      </c>
      <c r="E148" s="2" t="s">
        <v>588</v>
      </c>
      <c r="F148" s="2" t="s">
        <v>32</v>
      </c>
      <c r="G148" s="2" t="s">
        <v>589</v>
      </c>
      <c r="H148" s="2" t="s">
        <v>16</v>
      </c>
      <c r="I148" s="2" t="s">
        <v>17</v>
      </c>
      <c r="J148" s="2" t="s">
        <v>18</v>
      </c>
      <c r="K148" s="2"/>
    </row>
    <row r="149" spans="1:11" ht="89.25">
      <c r="A149" s="2">
        <v>148</v>
      </c>
      <c r="B149" s="2" t="s">
        <v>590</v>
      </c>
      <c r="C149" s="2">
        <v>2024</v>
      </c>
      <c r="D149" s="2" t="s">
        <v>35</v>
      </c>
      <c r="E149" s="2" t="s">
        <v>591</v>
      </c>
      <c r="F149" s="2" t="s">
        <v>592</v>
      </c>
      <c r="G149" s="2" t="s">
        <v>593</v>
      </c>
      <c r="H149" s="2" t="s">
        <v>16</v>
      </c>
      <c r="I149" s="2" t="s">
        <v>39</v>
      </c>
      <c r="J149" s="2" t="s">
        <v>40</v>
      </c>
      <c r="K149" s="2"/>
    </row>
    <row r="150" spans="1:11" ht="51">
      <c r="A150" s="3">
        <v>149</v>
      </c>
      <c r="B150" s="3" t="s">
        <v>594</v>
      </c>
      <c r="C150" s="3">
        <v>2025</v>
      </c>
      <c r="D150" s="3" t="s">
        <v>12</v>
      </c>
      <c r="E150" s="3" t="s">
        <v>595</v>
      </c>
      <c r="F150" s="3" t="s">
        <v>596</v>
      </c>
      <c r="G150" s="3" t="s">
        <v>597</v>
      </c>
      <c r="H150" s="3" t="s">
        <v>45</v>
      </c>
      <c r="I150" s="3" t="s">
        <v>46</v>
      </c>
      <c r="J150" s="3" t="s">
        <v>47</v>
      </c>
      <c r="K150" s="3"/>
    </row>
    <row r="151" spans="1:11" ht="38.25">
      <c r="A151" s="2">
        <v>150</v>
      </c>
      <c r="B151" s="2" t="s">
        <v>598</v>
      </c>
      <c r="C151" s="2">
        <v>2025</v>
      </c>
      <c r="D151" s="2" t="s">
        <v>35</v>
      </c>
      <c r="E151" s="2" t="s">
        <v>599</v>
      </c>
      <c r="F151" s="2" t="s">
        <v>600</v>
      </c>
      <c r="G151" s="2" t="s">
        <v>601</v>
      </c>
      <c r="H151" s="2" t="s">
        <v>16</v>
      </c>
      <c r="I151" s="2" t="s">
        <v>39</v>
      </c>
      <c r="J151" s="2" t="s">
        <v>40</v>
      </c>
      <c r="K151" s="2"/>
    </row>
    <row r="152" spans="1:11" ht="76.5">
      <c r="A152" s="2">
        <v>151</v>
      </c>
      <c r="B152" s="2" t="s">
        <v>602</v>
      </c>
      <c r="C152" s="2">
        <v>2025</v>
      </c>
      <c r="D152" s="2" t="s">
        <v>20</v>
      </c>
      <c r="E152" s="2" t="s">
        <v>603</v>
      </c>
      <c r="F152" s="2" t="s">
        <v>604</v>
      </c>
      <c r="G152" s="2" t="s">
        <v>605</v>
      </c>
      <c r="H152" s="2" t="s">
        <v>16</v>
      </c>
      <c r="I152" s="2" t="s">
        <v>24</v>
      </c>
      <c r="J152" s="2" t="s">
        <v>25</v>
      </c>
      <c r="K152" s="2"/>
    </row>
    <row r="153" spans="1:11" ht="38.25">
      <c r="A153" s="2">
        <v>152</v>
      </c>
      <c r="B153" s="2" t="s">
        <v>606</v>
      </c>
      <c r="C153" s="2">
        <v>2026</v>
      </c>
      <c r="D153" s="2" t="s">
        <v>35</v>
      </c>
      <c r="E153" s="2" t="s">
        <v>607</v>
      </c>
      <c r="F153" s="2" t="s">
        <v>608</v>
      </c>
      <c r="G153" s="2" t="s">
        <v>609</v>
      </c>
      <c r="H153" s="2" t="s">
        <v>16</v>
      </c>
      <c r="I153" s="2" t="s">
        <v>39</v>
      </c>
      <c r="J153" s="2" t="s">
        <v>40</v>
      </c>
      <c r="K153" s="2"/>
    </row>
    <row r="154" spans="1:11" ht="25.5">
      <c r="A154" s="2">
        <v>153</v>
      </c>
      <c r="B154" s="2" t="s">
        <v>610</v>
      </c>
      <c r="C154" s="2">
        <v>2025</v>
      </c>
      <c r="D154" s="2" t="s">
        <v>12</v>
      </c>
      <c r="E154" s="2" t="s">
        <v>611</v>
      </c>
      <c r="F154" s="2" t="s">
        <v>612</v>
      </c>
      <c r="G154" s="2"/>
      <c r="H154" s="2" t="s">
        <v>16</v>
      </c>
      <c r="I154" s="2" t="s">
        <v>88</v>
      </c>
      <c r="J154" s="2" t="s">
        <v>89</v>
      </c>
      <c r="K154" s="2"/>
    </row>
    <row r="155" spans="1:11" ht="76.5">
      <c r="A155" s="4">
        <v>154</v>
      </c>
      <c r="B155" s="4" t="s">
        <v>613</v>
      </c>
      <c r="C155" s="4">
        <v>2024</v>
      </c>
      <c r="D155" s="4" t="s">
        <v>35</v>
      </c>
      <c r="E155" s="4" t="s">
        <v>614</v>
      </c>
      <c r="F155" s="4" t="s">
        <v>375</v>
      </c>
      <c r="G155" s="4" t="s">
        <v>615</v>
      </c>
      <c r="H155" s="4" t="s">
        <v>255</v>
      </c>
      <c r="I155" s="4" t="s">
        <v>256</v>
      </c>
      <c r="J155" s="4" t="s">
        <v>257</v>
      </c>
      <c r="K155" s="4" t="s">
        <v>616</v>
      </c>
    </row>
    <row r="156" spans="1:11" ht="38.25">
      <c r="A156" s="2">
        <v>155</v>
      </c>
      <c r="B156" s="2" t="s">
        <v>617</v>
      </c>
      <c r="C156" s="2">
        <v>2026</v>
      </c>
      <c r="D156" s="2" t="s">
        <v>20</v>
      </c>
      <c r="E156" s="2" t="s">
        <v>618</v>
      </c>
      <c r="F156" s="2" t="s">
        <v>619</v>
      </c>
      <c r="G156" s="2" t="s">
        <v>620</v>
      </c>
      <c r="H156" s="2" t="s">
        <v>16</v>
      </c>
      <c r="I156" s="2" t="s">
        <v>24</v>
      </c>
      <c r="J156" s="2" t="s">
        <v>25</v>
      </c>
      <c r="K156" s="2"/>
    </row>
    <row r="157" spans="1:11" ht="51">
      <c r="A157" s="2">
        <v>156</v>
      </c>
      <c r="B157" s="2" t="s">
        <v>621</v>
      </c>
      <c r="C157" s="2">
        <v>2024</v>
      </c>
      <c r="D157" s="2" t="s">
        <v>12</v>
      </c>
      <c r="E157" s="2" t="s">
        <v>622</v>
      </c>
      <c r="F157" s="2" t="s">
        <v>623</v>
      </c>
      <c r="G157" s="2" t="s">
        <v>624</v>
      </c>
      <c r="H157" s="2" t="s">
        <v>16</v>
      </c>
      <c r="I157" s="2" t="s">
        <v>24</v>
      </c>
      <c r="J157" s="2" t="s">
        <v>25</v>
      </c>
      <c r="K157" s="2"/>
    </row>
    <row r="158" spans="1:11" ht="63.75">
      <c r="A158" s="2">
        <v>157</v>
      </c>
      <c r="B158" s="2" t="s">
        <v>625</v>
      </c>
      <c r="C158" s="2">
        <v>2024</v>
      </c>
      <c r="D158" s="2" t="s">
        <v>35</v>
      </c>
      <c r="E158" s="2" t="s">
        <v>626</v>
      </c>
      <c r="F158" s="2" t="s">
        <v>519</v>
      </c>
      <c r="G158" s="2" t="s">
        <v>627</v>
      </c>
      <c r="H158" s="2" t="s">
        <v>16</v>
      </c>
      <c r="I158" s="2" t="s">
        <v>88</v>
      </c>
      <c r="J158" s="2" t="s">
        <v>89</v>
      </c>
      <c r="K158" s="2"/>
    </row>
    <row r="159" spans="1:11" ht="63.75">
      <c r="A159" s="2">
        <v>158</v>
      </c>
      <c r="B159" s="2" t="s">
        <v>628</v>
      </c>
      <c r="C159" s="2">
        <v>2026</v>
      </c>
      <c r="D159" s="2" t="s">
        <v>12</v>
      </c>
      <c r="E159" s="2" t="s">
        <v>629</v>
      </c>
      <c r="F159" s="2" t="s">
        <v>630</v>
      </c>
      <c r="G159" s="2" t="s">
        <v>631</v>
      </c>
      <c r="H159" s="2" t="s">
        <v>16</v>
      </c>
      <c r="I159" s="2" t="s">
        <v>24</v>
      </c>
      <c r="J159" s="2" t="s">
        <v>25</v>
      </c>
      <c r="K159" s="2"/>
    </row>
    <row r="160" spans="1:11" ht="38.25">
      <c r="A160" s="2">
        <v>159</v>
      </c>
      <c r="B160" s="2" t="s">
        <v>632</v>
      </c>
      <c r="C160" s="2">
        <v>2026</v>
      </c>
      <c r="D160" s="2" t="s">
        <v>633</v>
      </c>
      <c r="E160" s="2" t="s">
        <v>634</v>
      </c>
      <c r="F160" s="2" t="s">
        <v>635</v>
      </c>
      <c r="G160" s="2" t="s">
        <v>636</v>
      </c>
      <c r="H160" s="2" t="s">
        <v>16</v>
      </c>
      <c r="I160" s="2" t="s">
        <v>24</v>
      </c>
      <c r="J160" s="2" t="s">
        <v>25</v>
      </c>
      <c r="K160" s="2"/>
    </row>
    <row r="161" spans="1:11" ht="51">
      <c r="A161" s="2">
        <v>160</v>
      </c>
      <c r="B161" s="2" t="s">
        <v>637</v>
      </c>
      <c r="C161" s="2">
        <v>2025</v>
      </c>
      <c r="D161" s="2" t="s">
        <v>12</v>
      </c>
      <c r="E161" s="2" t="s">
        <v>638</v>
      </c>
      <c r="F161" s="2" t="s">
        <v>32</v>
      </c>
      <c r="G161" s="2" t="s">
        <v>639</v>
      </c>
      <c r="H161" s="2" t="s">
        <v>16</v>
      </c>
      <c r="I161" s="2" t="s">
        <v>17</v>
      </c>
      <c r="J161" s="2" t="s">
        <v>18</v>
      </c>
      <c r="K161" s="2"/>
    </row>
    <row r="162" spans="1:11" ht="114.75">
      <c r="A162" s="4">
        <v>161</v>
      </c>
      <c r="B162" s="4" t="s">
        <v>640</v>
      </c>
      <c r="C162" s="4">
        <v>2022</v>
      </c>
      <c r="D162" s="4" t="s">
        <v>35</v>
      </c>
      <c r="E162" s="4" t="s">
        <v>641</v>
      </c>
      <c r="F162" s="4" t="s">
        <v>642</v>
      </c>
      <c r="G162" s="4" t="s">
        <v>643</v>
      </c>
      <c r="H162" s="4" t="s">
        <v>255</v>
      </c>
      <c r="I162" s="4" t="s">
        <v>256</v>
      </c>
      <c r="J162" s="4" t="s">
        <v>257</v>
      </c>
      <c r="K162" s="4" t="s">
        <v>644</v>
      </c>
    </row>
    <row r="163" spans="1:11" ht="38.25">
      <c r="A163" s="2">
        <v>162</v>
      </c>
      <c r="B163" s="2" t="s">
        <v>645</v>
      </c>
      <c r="C163" s="2">
        <v>2026</v>
      </c>
      <c r="D163" s="2" t="s">
        <v>35</v>
      </c>
      <c r="E163" s="2" t="s">
        <v>646</v>
      </c>
      <c r="F163" s="2" t="s">
        <v>647</v>
      </c>
      <c r="G163" s="2" t="s">
        <v>648</v>
      </c>
      <c r="H163" s="2" t="s">
        <v>16</v>
      </c>
      <c r="I163" s="2" t="s">
        <v>17</v>
      </c>
      <c r="J163" s="2" t="s">
        <v>18</v>
      </c>
      <c r="K163" s="2"/>
    </row>
    <row r="164" spans="1:11" ht="51">
      <c r="A164" s="2">
        <v>163</v>
      </c>
      <c r="B164" s="2" t="s">
        <v>649</v>
      </c>
      <c r="C164" s="2">
        <v>2025</v>
      </c>
      <c r="D164" s="2" t="s">
        <v>12</v>
      </c>
      <c r="E164" s="2" t="s">
        <v>650</v>
      </c>
      <c r="F164" s="2" t="s">
        <v>651</v>
      </c>
      <c r="G164" s="2" t="s">
        <v>652</v>
      </c>
      <c r="H164" s="2" t="s">
        <v>16</v>
      </c>
      <c r="I164" s="2" t="s">
        <v>17</v>
      </c>
      <c r="J164" s="2" t="s">
        <v>18</v>
      </c>
      <c r="K164" s="2"/>
    </row>
    <row r="165" spans="1:11" ht="51">
      <c r="A165" s="2">
        <v>164</v>
      </c>
      <c r="B165" s="2" t="s">
        <v>653</v>
      </c>
      <c r="C165" s="2">
        <v>2026</v>
      </c>
      <c r="D165" s="2" t="s">
        <v>20</v>
      </c>
      <c r="E165" s="2" t="s">
        <v>654</v>
      </c>
      <c r="F165" s="2" t="s">
        <v>655</v>
      </c>
      <c r="G165" s="2" t="s">
        <v>656</v>
      </c>
      <c r="H165" s="2" t="s">
        <v>16</v>
      </c>
      <c r="I165" s="2" t="s">
        <v>24</v>
      </c>
      <c r="J165" s="2" t="s">
        <v>25</v>
      </c>
      <c r="K165" s="2"/>
    </row>
    <row r="166" spans="1:11" ht="51">
      <c r="A166" s="2">
        <v>165</v>
      </c>
      <c r="B166" s="2" t="s">
        <v>657</v>
      </c>
      <c r="C166" s="2">
        <v>2025</v>
      </c>
      <c r="D166" s="2" t="s">
        <v>35</v>
      </c>
      <c r="E166" s="2" t="s">
        <v>658</v>
      </c>
      <c r="F166" s="2" t="s">
        <v>659</v>
      </c>
      <c r="G166" s="2" t="s">
        <v>660</v>
      </c>
      <c r="H166" s="2" t="s">
        <v>16</v>
      </c>
      <c r="I166" s="2" t="s">
        <v>39</v>
      </c>
      <c r="J166" s="2" t="s">
        <v>40</v>
      </c>
      <c r="K166" s="2"/>
    </row>
    <row r="167" spans="1:11" ht="76.5">
      <c r="A167" s="2">
        <v>166</v>
      </c>
      <c r="B167" s="2" t="s">
        <v>661</v>
      </c>
      <c r="C167" s="2">
        <v>2022</v>
      </c>
      <c r="D167" s="2" t="s">
        <v>35</v>
      </c>
      <c r="E167" s="2" t="s">
        <v>662</v>
      </c>
      <c r="F167" s="2" t="s">
        <v>663</v>
      </c>
      <c r="G167" s="2" t="s">
        <v>664</v>
      </c>
      <c r="H167" s="2" t="s">
        <v>16</v>
      </c>
      <c r="I167" s="2" t="s">
        <v>88</v>
      </c>
      <c r="J167" s="2" t="s">
        <v>89</v>
      </c>
      <c r="K167" s="2"/>
    </row>
    <row r="168" spans="1:11" ht="38.25">
      <c r="A168" s="2">
        <v>167</v>
      </c>
      <c r="B168" s="2" t="s">
        <v>665</v>
      </c>
      <c r="C168" s="2">
        <v>2026</v>
      </c>
      <c r="D168" s="2" t="s">
        <v>35</v>
      </c>
      <c r="E168" s="2" t="s">
        <v>666</v>
      </c>
      <c r="F168" s="2" t="s">
        <v>228</v>
      </c>
      <c r="G168" s="2" t="s">
        <v>667</v>
      </c>
      <c r="H168" s="2" t="s">
        <v>16</v>
      </c>
      <c r="I168" s="2" t="s">
        <v>39</v>
      </c>
      <c r="J168" s="2" t="s">
        <v>40</v>
      </c>
      <c r="K168" s="2"/>
    </row>
    <row r="169" spans="1:11" ht="76.5">
      <c r="A169" s="2">
        <v>168</v>
      </c>
      <c r="B169" s="2" t="s">
        <v>668</v>
      </c>
      <c r="C169" s="2">
        <v>2026</v>
      </c>
      <c r="D169" s="2" t="s">
        <v>12</v>
      </c>
      <c r="E169" s="2" t="s">
        <v>669</v>
      </c>
      <c r="F169" s="2" t="s">
        <v>670</v>
      </c>
      <c r="G169" s="2" t="s">
        <v>671</v>
      </c>
      <c r="H169" s="2" t="s">
        <v>16</v>
      </c>
      <c r="I169" s="2" t="s">
        <v>39</v>
      </c>
      <c r="J169" s="2" t="s">
        <v>40</v>
      </c>
      <c r="K169" s="2"/>
    </row>
    <row r="170" spans="1:11" ht="51">
      <c r="A170" s="2">
        <v>169</v>
      </c>
      <c r="B170" s="2" t="s">
        <v>672</v>
      </c>
      <c r="C170" s="2">
        <v>2022</v>
      </c>
      <c r="D170" s="2" t="s">
        <v>35</v>
      </c>
      <c r="E170" s="2" t="s">
        <v>673</v>
      </c>
      <c r="F170" s="2" t="s">
        <v>413</v>
      </c>
      <c r="G170" s="2" t="s">
        <v>674</v>
      </c>
      <c r="H170" s="2" t="s">
        <v>16</v>
      </c>
      <c r="I170" s="2" t="s">
        <v>88</v>
      </c>
      <c r="J170" s="2" t="s">
        <v>89</v>
      </c>
      <c r="K170" s="2"/>
    </row>
    <row r="171" spans="1:11" ht="38.25">
      <c r="A171" s="2">
        <v>170</v>
      </c>
      <c r="B171" s="2" t="s">
        <v>675</v>
      </c>
      <c r="C171" s="2">
        <v>2026</v>
      </c>
      <c r="D171" s="2" t="s">
        <v>20</v>
      </c>
      <c r="E171" s="2" t="s">
        <v>676</v>
      </c>
      <c r="F171" s="2" t="s">
        <v>241</v>
      </c>
      <c r="G171" s="2" t="s">
        <v>677</v>
      </c>
      <c r="H171" s="2" t="s">
        <v>16</v>
      </c>
      <c r="I171" s="2" t="s">
        <v>24</v>
      </c>
      <c r="J171" s="2" t="s">
        <v>25</v>
      </c>
      <c r="K171" s="2"/>
    </row>
    <row r="172" spans="1:11" ht="204">
      <c r="A172" s="2">
        <v>171</v>
      </c>
      <c r="B172" s="2" t="s">
        <v>678</v>
      </c>
      <c r="C172" s="2">
        <v>2025</v>
      </c>
      <c r="D172" s="2" t="s">
        <v>35</v>
      </c>
      <c r="E172" s="2" t="s">
        <v>679</v>
      </c>
      <c r="F172" s="2" t="s">
        <v>680</v>
      </c>
      <c r="G172" s="2" t="s">
        <v>681</v>
      </c>
      <c r="H172" s="2" t="s">
        <v>16</v>
      </c>
      <c r="I172" s="2" t="s">
        <v>88</v>
      </c>
      <c r="J172" s="2" t="s">
        <v>89</v>
      </c>
      <c r="K172" s="2"/>
    </row>
    <row r="173" spans="1:11" ht="114.75">
      <c r="A173" s="2">
        <v>172</v>
      </c>
      <c r="B173" s="2" t="s">
        <v>682</v>
      </c>
      <c r="C173" s="2">
        <v>2026</v>
      </c>
      <c r="D173" s="2" t="s">
        <v>35</v>
      </c>
      <c r="E173" s="2" t="s">
        <v>683</v>
      </c>
      <c r="F173" s="2" t="s">
        <v>684</v>
      </c>
      <c r="G173" s="2" t="s">
        <v>685</v>
      </c>
      <c r="H173" s="2" t="s">
        <v>16</v>
      </c>
      <c r="I173" s="2" t="s">
        <v>39</v>
      </c>
      <c r="J173" s="2" t="s">
        <v>40</v>
      </c>
      <c r="K173" s="2"/>
    </row>
    <row r="174" spans="1:11" ht="255">
      <c r="A174" s="2">
        <v>173</v>
      </c>
      <c r="B174" s="2" t="s">
        <v>686</v>
      </c>
      <c r="C174" s="2">
        <v>2025</v>
      </c>
      <c r="D174" s="2" t="s">
        <v>35</v>
      </c>
      <c r="E174" s="2" t="s">
        <v>687</v>
      </c>
      <c r="F174" s="2" t="s">
        <v>688</v>
      </c>
      <c r="G174" s="2" t="s">
        <v>689</v>
      </c>
      <c r="H174" s="2" t="s">
        <v>16</v>
      </c>
      <c r="I174" s="2" t="s">
        <v>39</v>
      </c>
      <c r="J174" s="2" t="s">
        <v>40</v>
      </c>
      <c r="K174" s="2"/>
    </row>
    <row r="175" spans="1:11" ht="153">
      <c r="A175" s="2">
        <v>174</v>
      </c>
      <c r="B175" s="2" t="s">
        <v>690</v>
      </c>
      <c r="C175" s="2">
        <v>2026</v>
      </c>
      <c r="D175" s="2" t="s">
        <v>20</v>
      </c>
      <c r="E175" s="2" t="s">
        <v>691</v>
      </c>
      <c r="F175" s="2" t="s">
        <v>692</v>
      </c>
      <c r="G175" s="2" t="s">
        <v>693</v>
      </c>
      <c r="H175" s="2" t="s">
        <v>16</v>
      </c>
      <c r="I175" s="2" t="s">
        <v>24</v>
      </c>
      <c r="J175" s="2" t="s">
        <v>25</v>
      </c>
      <c r="K175" s="2"/>
    </row>
  </sheetData>
  <autoFilter ref="A1:K175"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8"/>
  <sheetViews>
    <sheetView zoomScaleNormal="100" workbookViewId="0"/>
  </sheetViews>
  <sheetFormatPr baseColWidth="10" defaultColWidth="8.7109375" defaultRowHeight="15"/>
  <cols>
    <col min="1" max="1" width="62" customWidth="1"/>
    <col min="2" max="2" width="14" customWidth="1"/>
    <col min="3" max="3" width="60" customWidth="1"/>
  </cols>
  <sheetData>
    <row r="1" spans="1:3">
      <c r="A1" s="5" t="s">
        <v>694</v>
      </c>
      <c r="B1" s="6"/>
      <c r="C1" s="6"/>
    </row>
    <row r="2" spans="1:3">
      <c r="A2" s="5" t="s">
        <v>695</v>
      </c>
      <c r="B2" s="6"/>
      <c r="C2" s="6"/>
    </row>
    <row r="3" spans="1:3">
      <c r="A3" s="6" t="s">
        <v>696</v>
      </c>
      <c r="B3" s="6">
        <f>COUNTA(Cribado!A2:A175)</f>
        <v>174</v>
      </c>
      <c r="C3" s="6" t="s">
        <v>697</v>
      </c>
    </row>
    <row r="4" spans="1:3">
      <c r="A4" s="6" t="s">
        <v>698</v>
      </c>
      <c r="B4" s="6">
        <v>0</v>
      </c>
      <c r="C4" s="6" t="s">
        <v>699</v>
      </c>
    </row>
    <row r="5" spans="1:3">
      <c r="A5" s="5" t="s">
        <v>700</v>
      </c>
      <c r="B5" s="6"/>
      <c r="C5" s="6"/>
    </row>
    <row r="6" spans="1:3">
      <c r="A6" s="6" t="s">
        <v>701</v>
      </c>
      <c r="B6" s="6">
        <f>B3-B4</f>
        <v>174</v>
      </c>
      <c r="C6" s="6"/>
    </row>
    <row r="7" spans="1:3">
      <c r="A7" s="6" t="s">
        <v>702</v>
      </c>
      <c r="B7" s="6">
        <f>SUM(B8:B12)</f>
        <v>151</v>
      </c>
      <c r="C7" s="6"/>
    </row>
    <row r="8" spans="1:3">
      <c r="A8" s="6" t="s">
        <v>703</v>
      </c>
      <c r="B8" s="6">
        <f>COUNTIF(Cribado!J2:J175,"R1")</f>
        <v>59</v>
      </c>
      <c r="C8" s="6"/>
    </row>
    <row r="9" spans="1:3">
      <c r="A9" s="6" t="s">
        <v>704</v>
      </c>
      <c r="B9" s="6">
        <f>COUNTIF(Cribado!J2:J175,"R2")</f>
        <v>33</v>
      </c>
      <c r="C9" s="6"/>
    </row>
    <row r="10" spans="1:3">
      <c r="A10" s="6" t="s">
        <v>705</v>
      </c>
      <c r="B10" s="6">
        <f>COUNTIF(Cribado!J2:J175,"R3")</f>
        <v>38</v>
      </c>
      <c r="C10" s="6"/>
    </row>
    <row r="11" spans="1:3">
      <c r="A11" s="6" t="s">
        <v>706</v>
      </c>
      <c r="B11" s="6">
        <f>COUNTIF(Cribado!J2:J175,"R4")</f>
        <v>16</v>
      </c>
      <c r="C11" s="6"/>
    </row>
    <row r="12" spans="1:3">
      <c r="A12" s="6" t="s">
        <v>707</v>
      </c>
      <c r="B12" s="6">
        <f>COUNTIF(Cribado!J2:J175,"R5")</f>
        <v>5</v>
      </c>
      <c r="C12" s="6"/>
    </row>
    <row r="13" spans="1:3">
      <c r="A13" s="5" t="s">
        <v>708</v>
      </c>
      <c r="B13" s="6"/>
      <c r="C13" s="6"/>
    </row>
    <row r="14" spans="1:3">
      <c r="A14" s="6" t="s">
        <v>709</v>
      </c>
      <c r="B14" s="6">
        <f>B6-B7</f>
        <v>23</v>
      </c>
      <c r="C14" s="6" t="s">
        <v>710</v>
      </c>
    </row>
    <row r="15" spans="1:3">
      <c r="A15" s="6" t="s">
        <v>711</v>
      </c>
      <c r="B15" s="6">
        <f>COUNTIF(Cribado!J2:J175,"R6")</f>
        <v>13</v>
      </c>
      <c r="C15" s="6" t="s">
        <v>712</v>
      </c>
    </row>
    <row r="16" spans="1:3">
      <c r="A16" s="5" t="s">
        <v>713</v>
      </c>
      <c r="B16" s="6"/>
      <c r="C16" s="6"/>
    </row>
    <row r="17" spans="1:3">
      <c r="A17" s="6" t="s">
        <v>714</v>
      </c>
      <c r="B17" s="6">
        <f>B14-B15</f>
        <v>10</v>
      </c>
      <c r="C17" s="6" t="s">
        <v>715</v>
      </c>
    </row>
    <row r="18" spans="1:3">
      <c r="A18" s="6" t="s">
        <v>716</v>
      </c>
      <c r="B18" s="6" t="str">
        <f>IF(B7+B15+B17=B6,"OK","REVISAR")</f>
        <v>OK</v>
      </c>
      <c r="C18" s="6"/>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Cribado</vt:lpstr>
      <vt:lpstr>PRISMA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Aly Gallo Lopez</cp:lastModifiedBy>
  <cp:revision>0</cp:revision>
  <dcterms:created xsi:type="dcterms:W3CDTF">2026-10-02T00:11:32Z</dcterms:created>
  <dcterms:modified xsi:type="dcterms:W3CDTF">2026-10-03T22:09:28Z</dcterms:modified>
  <dc:language>en-US</dc:language>
</cp:coreProperties>
</file>